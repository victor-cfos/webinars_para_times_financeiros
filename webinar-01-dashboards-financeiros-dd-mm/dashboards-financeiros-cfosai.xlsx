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" sheetId="1" r:id="rId1"/>
    <sheet name="Guia de escolha" sheetId="2" r:id="rId2"/>
    <sheet name="01 Colunas" sheetId="3" r:id="rId3"/>
    <sheet name="02 Barras horizontais" sheetId="4" r:id="rId4"/>
    <sheet name="03 Colunas agrupadas" sheetId="5" r:id="rId5"/>
    <sheet name="04 Colunas empilhadas" sheetId="6" r:id="rId6"/>
    <sheet name="05 Empilhadas 100%" sheetId="7" r:id="rId7"/>
    <sheet name="06 Linhas" sheetId="8" r:id="rId8"/>
    <sheet name="07 Área" sheetId="9" r:id="rId9"/>
    <sheet name="08 Pizza" sheetId="10" r:id="rId10"/>
    <sheet name="09 Rosca" sheetId="11" r:id="rId11"/>
    <sheet name="10 Dispersão" sheetId="12" r:id="rId12"/>
    <sheet name="11 Bolhas" sheetId="13" r:id="rId13"/>
    <sheet name="12 Radar" sheetId="14" r:id="rId14"/>
    <sheet name="13 Histograma" sheetId="15" r:id="rId15"/>
    <sheet name="14 Cascata" sheetId="16" r:id="rId16"/>
    <sheet name="15 Gantt" sheetId="17" r:id="rId17"/>
    <sheet name="16 Slopegraph" sheetId="18" r:id="rId18"/>
    <sheet name="17 Barras divergentes" sheetId="19" r:id="rId19"/>
    <sheet name="18 Mapa de calor" sheetId="20" r:id="rId20"/>
    <sheet name="19 Pareto" sheetId="21" r:id="rId21"/>
    <sheet name="20 Linhas indexadas" sheetId="22" r:id="rId22"/>
  </sheets>
  <definedNames>
    <definedName name="_xlnm._FilterDatabase" localSheetId="1" hidden="1">'Guia de escolha'!$B$7:$H$27</definedName>
    <definedName name="_xlnm.Print_Area" localSheetId="2">'01 Colunas'!$A$1:$Q$56</definedName>
    <definedName name="_xlnm.Print_Area" localSheetId="3">'02 Barras horizontais'!$A$1:$Q$59</definedName>
    <definedName name="_xlnm.Print_Area" localSheetId="4">'03 Colunas agrupadas'!$A$1:$Q$56</definedName>
    <definedName name="_xlnm.Print_Area" localSheetId="5">'04 Colunas empilhadas'!$A$1:$Q$56</definedName>
    <definedName name="_xlnm.Print_Area" localSheetId="6">'05 Empilhadas 100%'!$A$1:$Q$57</definedName>
    <definedName name="_xlnm.Print_Area" localSheetId="7">'06 Linhas'!$A$1:$Q$64</definedName>
    <definedName name="_xlnm.Print_Area" localSheetId="8">'07 Área'!$A$1:$Q$63</definedName>
    <definedName name="_xlnm.Print_Area" localSheetId="9">'08 Pizza'!$A$1:$Q$55</definedName>
    <definedName name="_xlnm.Print_Area" localSheetId="10">'09 Rosca'!$A$1:$Q$58</definedName>
    <definedName name="_xlnm.Print_Area" localSheetId="11">'10 Dispersão'!$A$1:$Q$64</definedName>
    <definedName name="_xlnm.Print_Area" localSheetId="12">'11 Bolhas'!$A$1:$Q$59</definedName>
    <definedName name="_xlnm.Print_Area" localSheetId="13">'12 Radar'!$A$1:$Q$59</definedName>
    <definedName name="_xlnm.Print_Area" localSheetId="14">'13 Histograma'!$A$1:$Q$60</definedName>
    <definedName name="_xlnm.Print_Area" localSheetId="15">'14 Cascata'!$A$1:$Q$63</definedName>
    <definedName name="_xlnm.Print_Area" localSheetId="16">'15 Gantt'!$A$1:$Q$62</definedName>
    <definedName name="_xlnm.Print_Area" localSheetId="17">'16 Slopegraph'!$A$1:$Q$58</definedName>
    <definedName name="_xlnm.Print_Area" localSheetId="18">'17 Barras divergentes'!$A$1:$Q$62</definedName>
    <definedName name="_xlnm.Print_Area" localSheetId="19">'18 Mapa de calor'!$A$1:$Q$53</definedName>
    <definedName name="_xlnm.Print_Area" localSheetId="20">'19 Pareto'!$A$1:$Q$61</definedName>
    <definedName name="_xlnm.Print_Area" localSheetId="21">'20 Linhas indexadas'!$A$1:$Q$61</definedName>
  </definedNames>
  <calcPr calcId="124519" fullCalcOnLoad="1"/>
</workbook>
</file>

<file path=xl/sharedStrings.xml><?xml version="1.0" encoding="utf-8"?>
<sst xmlns="http://schemas.openxmlformats.org/spreadsheetml/2006/main" count="1270" uniqueCount="693">
  <si>
    <t>Dashboards financeiros · Webinar #1 · CFOs.AI</t>
  </si>
  <si>
    <t>20 gráficos para finanças: quando usar, como montar no Excel e como pedir para uma IA reproduzir.</t>
  </si>
  <si>
    <t>Para CFOs, controllers e analistas financeiros · Todos os dados são fictícios.</t>
  </si>
  <si>
    <t>Como usar esta planilha</t>
  </si>
  <si>
    <t>1.</t>
  </si>
  <si>
    <t>Comece pela aba "Guia de escolha": encontre a sua pergunta de negócio e veja qual gráfico responde melhor.</t>
  </si>
  <si>
    <t>2.</t>
  </si>
  <si>
    <t>Cada aba numerada traz um gráfico nativo do Excel na identidade CFOs.AI (fundo branco, laranja #EF4517, cinzas de apoio).</t>
  </si>
  <si>
    <t>3.</t>
  </si>
  <si>
    <t>Edite os valores em preto na tabela de dados: o gráfico se atualiza sozinho. Células com fundo cinza são calculadas por fórmula.</t>
  </si>
  <si>
    <t>4.</t>
  </si>
  <si>
    <t>Leia "Quando usar / Quando evitar" antes de levar o gráfico para a reunião de resultados.</t>
  </si>
  <si>
    <t>5.</t>
  </si>
  <si>
    <t>No bloco "Prompt para reproduzir", copie o texto e cole em qualquer IA: você recebe o mesmo gráfico em Python e em HTML (Tailwind + Chart.js/SVG).</t>
  </si>
  <si>
    <t>6.</t>
  </si>
  <si>
    <t>Para usar com os seus números, troque os dados na tabela e também na seção DADOS do prompt.</t>
  </si>
  <si>
    <t>Índice</t>
  </si>
  <si>
    <t>Nº</t>
  </si>
  <si>
    <t>Aba</t>
  </si>
  <si>
    <t>Pergunta que responde</t>
  </si>
  <si>
    <t>—</t>
  </si>
  <si>
    <t>Guia de escolha</t>
  </si>
  <si>
    <t>Qual gráfico usar para cada pergunta</t>
  </si>
  <si>
    <t>01</t>
  </si>
  <si>
    <t>Colunas</t>
  </si>
  <si>
    <t>Qual regional gerou mais receita no ano?</t>
  </si>
  <si>
    <t>02</t>
  </si>
  <si>
    <t>Barras horizontais</t>
  </si>
  <si>
    <t>Quais despesas mais pesam no resultado?</t>
  </si>
  <si>
    <t>03</t>
  </si>
  <si>
    <t>Colunas agrupadas</t>
  </si>
  <si>
    <t>Em que trimestre o realizado se afastou do orçamento?</t>
  </si>
  <si>
    <t>04</t>
  </si>
  <si>
    <t>Colunas empilhadas</t>
  </si>
  <si>
    <t>Quanto cada canal contribui para o total do trimestre?</t>
  </si>
  <si>
    <t>05</t>
  </si>
  <si>
    <t>Empilhadas 100%</t>
  </si>
  <si>
    <t>O mix de canais está mudando ao longo dos anos?</t>
  </si>
  <si>
    <t>06</t>
  </si>
  <si>
    <t>Linhas</t>
  </si>
  <si>
    <t>O caixa melhora ou piora ao longo do ano? Fica acima do mínimo?</t>
  </si>
  <si>
    <t>07</t>
  </si>
  <si>
    <t>Área</t>
  </si>
  <si>
    <t>Como evoluiu a receita recorrente ao longo do ano?</t>
  </si>
  <si>
    <t>08</t>
  </si>
  <si>
    <t>Pizza</t>
  </si>
  <si>
    <t>Como a receita do ano se divide entre os canais?</t>
  </si>
  <si>
    <t>09</t>
  </si>
  <si>
    <t>Rosca</t>
  </si>
  <si>
    <t>Qual o peso de cada componente no CPV?</t>
  </si>
  <si>
    <t>10</t>
  </si>
  <si>
    <t>Dispersão</t>
  </si>
  <si>
    <t>Mais investimento comercial vem acompanhado de mais receita nova?</t>
  </si>
  <si>
    <t>11</t>
  </si>
  <si>
    <t>Bolhas</t>
  </si>
  <si>
    <t>Quais unidades combinam escala, rentabilidade e tamanho de equipe?</t>
  </si>
  <si>
    <t>12</t>
  </si>
  <si>
    <t>Radar</t>
  </si>
  <si>
    <t>Em quais dimensões estamos mais distantes da meta?</t>
  </si>
  <si>
    <t>13</t>
  </si>
  <si>
    <t>Histograma</t>
  </si>
  <si>
    <t>Em quais faixas de dias se concentram os recebimentos?</t>
  </si>
  <si>
    <t>14</t>
  </si>
  <si>
    <t>Cascata (ponte do EBITDA)</t>
  </si>
  <si>
    <t>O que explica a variação do EBITDA de um ano para o outro?</t>
  </si>
  <si>
    <t>15</t>
  </si>
  <si>
    <t>Gantt (fechamento mensal)</t>
  </si>
  <si>
    <t>Quais etapas do fechamento acontecem ao mesmo tempo até o D+8?</t>
  </si>
  <si>
    <t>16</t>
  </si>
  <si>
    <t>Slopegraph</t>
  </si>
  <si>
    <t>Quais linhas ganharam e quais perderam margem?</t>
  </si>
  <si>
    <t>17</t>
  </si>
  <si>
    <t>Barras divergentes</t>
  </si>
  <si>
    <t>Quais áreas gastaram acima do orçado e quais economizaram?</t>
  </si>
  <si>
    <t>18</t>
  </si>
  <si>
    <t>Mapa de calor</t>
  </si>
  <si>
    <t>Onde e quando a receita se concentra? Há sazonalidade?</t>
  </si>
  <si>
    <t>19</t>
  </si>
  <si>
    <t>Pareto</t>
  </si>
  <si>
    <t>Quais poucos motivos explicam a maior parte do valor devolvido?</t>
  </si>
  <si>
    <t>20</t>
  </si>
  <si>
    <t>Linhas indexadas (base 100)</t>
  </si>
  <si>
    <t>O que cresceu mais rápido desde o início de 2025?</t>
  </si>
  <si>
    <t>Material de apoio ao Webinar #1 CFOs.AI · dados fictícios criados para fins didáticos · prompts também em prompts-graficos.md</t>
  </si>
  <si>
    <t>Dashboards financeiros · Webinar #1</t>
  </si>
  <si>
    <t>Guia de escolha: qual gráfico responde qual pergunta</t>
  </si>
  <si>
    <t>Comece pela pergunta de negócio; o gráfico vem depois. Clique na aba para ver o exemplo.</t>
  </si>
  <si>
    <t>← Capa</t>
  </si>
  <si>
    <t>Gráfico</t>
  </si>
  <si>
    <t>Finalidade</t>
  </si>
  <si>
    <t>Pergunta típica</t>
  </si>
  <si>
    <t>Quando usar</t>
  </si>
  <si>
    <t>Quando evitar</t>
  </si>
  <si>
    <t>Comparação</t>
  </si>
  <si>
    <t>Comparar valores absolutos entre poucas categorias (até ~7) com nomes curtos. O olho compara alturas a partir de uma base zero comum.</t>
  </si>
  <si>
    <t>Muitas categorias ou nomes longos (prefira barras horizontais); séries temporais longas (prefira linhas). Nunca corte o eixo Y acima de zero.</t>
  </si>
  <si>
    <t>01 Colunas</t>
  </si>
  <si>
    <t>Ranking</t>
  </si>
  <si>
    <t>Rankings e categorias com nomes longos. Ordene do maior para o menor e destaque em laranja só o item que merece atenção.</t>
  </si>
  <si>
    <t>Evolução no tempo (o tempo corre na horizontal: use colunas ou linhas); categorias deixadas fora de ordem.</t>
  </si>
  <si>
    <t>02 Barras horizontais</t>
  </si>
  <si>
    <t>Comparar 2 ou 3 séries nas mesmas categorias (orçado x realizado, ano anterior x atual). Cinza para a referência e laranja para o realizado.</t>
  </si>
  <si>
    <t>Mais de 3 séries por grupo (vira um "pente" ilegível); quando o que importa é a diferença, mostre o desvio direto (barras divergentes).</t>
  </si>
  <si>
    <t>03 Colunas agrupadas</t>
  </si>
  <si>
    <t>Composição</t>
  </si>
  <si>
    <t>Mostrar o total e, ao mesmo tempo, a contribuição de 2 a 4 partes. A série da base é a mais fácil de comparar: coloque nela a mais importante.</t>
  </si>
  <si>
    <t>Comparar com precisão as séries do meio/topo (não têm base comum); muitas partes; valores negativos.</t>
  </si>
  <si>
    <t>04 Colunas empilhadas</t>
  </si>
  <si>
    <t>Composição relativa</t>
  </si>
  <si>
    <t>Comparar participação percentual (mix) entre períodos ou grupos de tamanhos diferentes.</t>
  </si>
  <si>
    <t>Quando o leitor precisa do valor absoluto (o total some); quando o mix quase não muda (uma tabela resolve).</t>
  </si>
  <si>
    <t>05 Empilhadas 100%</t>
  </si>
  <si>
    <t>Evolução</t>
  </si>
  <si>
    <t>Tendência ao longo do tempo com intervalos regulares (meses, trimestres). Ótimo para comparar a série com uma meta ou limite.</t>
  </si>
  <si>
    <t>Categorias sem ordem natural (use colunas/barras); poucos pontos (2–3), em que colunas comunicam melhor.</t>
  </si>
  <si>
    <t>06 Linhas</t>
  </si>
  <si>
    <t>Evolução / volume</t>
  </si>
  <si>
    <t>Uma série temporal em que a sensação de volume importa (receita, base de clientes). Comece o eixo em zero.</t>
  </si>
  <si>
    <t>Várias séries sobrepostas (uma esconde a outra); séries que cruzam o zero.</t>
  </si>
  <si>
    <t>07 Área</t>
  </si>
  <si>
    <t>Parte do todo</t>
  </si>
  <si>
    <t>Um único total positivo dividido em 2 a 4 partes, quando a mensagem é "cerca de metade, um terço...".</t>
  </si>
  <si>
    <t>Mais de 5 fatias, fatias parecidas, comparação entre períodos (várias pizzas lado a lado) e qualquer efeito 3D.</t>
  </si>
  <si>
    <t>08 Pizza</t>
  </si>
  <si>
    <t>Mesma lógica da pizza, com o centro livre para um número-chave (total ou %). Até 5 partes.</t>
  </si>
  <si>
    <t>Muitas partes ou valores próximos; quando a precisão importa (prefira barras ordenadas).</t>
  </si>
  <si>
    <t>09 Rosca</t>
  </si>
  <si>
    <t>Relação</t>
  </si>
  <si>
    <t>Investigar associação entre duas variáveis numéricas com muitas observações; a linha de tendência ajuda a ler a direção.</t>
  </si>
  <si>
    <t>Poucos pontos; quando o tempo é o eixo principal (use linhas). Lembre: correlação não é causalidade.</t>
  </si>
  <si>
    <t>10 Dispersão</t>
  </si>
  <si>
    <t>Relação (3 variáveis)</t>
  </si>
  <si>
    <t>Três variáveis ao mesmo tempo (posição X, posição Y e tamanho da bolha) para poucas entidades rotuladas (até ~10).</t>
  </si>
  <si>
    <t>Muitas bolhas sobrepostas; quando o tamanho precisa ser lido com precisão (área é difícil de comparar).</t>
  </si>
  <si>
    <t>11 Bolhas</t>
  </si>
  <si>
    <t>Perfil</t>
  </si>
  <si>
    <t>Comparar o perfil de 1 ou 2 itens em 5–8 dimensões na mesma escala (diagnósticos de maturidade, avaliações).</t>
  </si>
  <si>
    <t>Escalas diferentes entre eixos, muitas séries, ou quando a ordem dos eixos induz uma leitura de área enganosa.</t>
  </si>
  <si>
    <t>12 Radar</t>
  </si>
  <si>
    <t>Distribuição</t>
  </si>
  <si>
    <t>Entender concentração, dispersão e caudas de uma variável numérica (prazos, tickets, atrasos). Faixas de mesma largura, barras encostadas.</t>
  </si>
  <si>
    <t>Faixas de larguras diferentes sem ajuste; poucos dados; confundir com colunas por categoria.</t>
  </si>
  <si>
    <t>13 Histograma</t>
  </si>
  <si>
    <t>Reconciliação</t>
  </si>
  <si>
    <t>Explicar como um saldo inicial chega ao saldo final por aumentos e reduções (ponte de EBITDA, de caixa, orçado x realizado).</t>
  </si>
  <si>
    <t>Muitos passos pequenos (agrupe em "outros"); quando os sinais não são intuitivos para o leitor.</t>
  </si>
  <si>
    <t>14 Cascata</t>
  </si>
  <si>
    <t>Cronograma</t>
  </si>
  <si>
    <t>Mostrar início, duração e sobreposição de atividades (fechamento contábil, ciclo de orçamento, projetos).</t>
  </si>
  <si>
    <t>Dependências complexas e muitos recursos (use uma ferramenta de projetos); tarefas sem datas definidas.</t>
  </si>
  <si>
    <t>15 Gantt</t>
  </si>
  <si>
    <t>Mudança entre dois pontos</t>
  </si>
  <si>
    <t>Comparar a mudança de vários itens entre exatamente dois momentos; a inclinação mostra quem subiu ou caiu.</t>
  </si>
  <si>
    <t>Mais de dois períodos (use linhas); muitos itens com valores próximos (os rótulos colidem).</t>
  </si>
  <si>
    <t>16 Slopegraph</t>
  </si>
  <si>
    <t>Desvio</t>
  </si>
  <si>
    <t>Mostrar desvios positivos e negativos a partir de um zero (realizado x orçado, variação x ano anterior).</t>
  </si>
  <si>
    <t>Quando não há um ponto neutro claro; muitas categorias sem ordenação.</t>
  </si>
  <si>
    <t>17 Barras divergentes</t>
  </si>
  <si>
    <t>Padrões em matriz</t>
  </si>
  <si>
    <t>Achar padrões em uma matriz (regional x mês, produto x cliente). A intensidade da cor guia o olhar; os números continuam visíveis.</t>
  </si>
  <si>
    <t>Quando é preciso comparar valores exatos; escalas com muitas cores (use uma só cor, do branco ao laranja).</t>
  </si>
  <si>
    <t>18 Mapa de calor</t>
  </si>
  <si>
    <t>Priorização</t>
  </si>
  <si>
    <t>Priorizar causas: colunas do maior para o menor e linha de % acumulado no eixo secundário (regra 80/20).</t>
  </si>
  <si>
    <t>Categorias que não são causas comparáveis; quando a ordem cronológica importa.</t>
  </si>
  <si>
    <t>19 Pareto</t>
  </si>
  <si>
    <t>Crescimento relativo</t>
  </si>
  <si>
    <t>Comparar o crescimento de séries com unidades ou escalas diferentes: todas começam em 100 no período-base.</t>
  </si>
  <si>
    <t>Quando o valor absoluto importa; período-base atípico (distorce todo o índice).</t>
  </si>
  <si>
    <t>20 Linhas indexadas</t>
  </si>
  <si>
    <t>← Guia de escolha</t>
  </si>
  <si>
    <t>01 · Colunas</t>
  </si>
  <si>
    <t>Dados fictícios · valores em R$ mil (exceto quando indicado) · células com fundo cinza são calculadas</t>
  </si>
  <si>
    <t>Regional</t>
  </si>
  <si>
    <t>Norte</t>
  </si>
  <si>
    <t>Nordeste</t>
  </si>
  <si>
    <t>Centro-Oeste</t>
  </si>
  <si>
    <t>Sudeste</t>
  </si>
  <si>
    <t>Sul</t>
  </si>
  <si>
    <t>Receita líquida</t>
  </si>
  <si>
    <t>Prompt para reproduzir  ·  copie as linhas abaixo e cole em qualquer IA (o mesmo texto está em prompts-graficos.md)</t>
  </si>
  <si>
    <t>Você é especialista em visualização de dados financeiros. Crie um gráfico de colunas verticais com o título "Receita líquida por regional · 2026" e o subtítulo "Qual regional gerou mais receita no ano?".</t>
  </si>
  <si>
    <t>DADOS (fictícios; unidade: R$ mil). Use exatamente estes valores, sem inventar outros:</t>
  </si>
  <si>
    <t>| Regional | Receita líquida |</t>
  </si>
  <si>
    <t>|---|---|</t>
  </si>
  <si>
    <t>| Norte | 4200 |</t>
  </si>
  <si>
    <t>| Nordeste | 5850 |</t>
  </si>
  <si>
    <t>| Centro-Oeste | 3900 |</t>
  </si>
  <si>
    <t>| Sudeste | 9700 |</t>
  </si>
  <si>
    <t>| Sul | 6400 |</t>
  </si>
  <si>
    <t>ESPECIFICAÇÃO DO GRÁFICO:</t>
  </si>
  <si>
    <t>- Uma coluna por regional, na ordem da tabela, todas na cor #EF4517; largura das colunas ~60% do espaço de cada categoria.</t>
  </si>
  <si>
    <t>- Eixo Y começando em zero, formato de milhar, título do eixo "R$ mil"; grade horizontal fina; sem grade vertical.</t>
  </si>
  <si>
    <t>- Rótulo de valor acima de cada coluna (ex.: 9.700), 11 px, cor #1A1A1A. Sem legenda (série única).</t>
  </si>
  <si>
    <t>IDENTIDADE VISUAL (CFOs.AI):</t>
  </si>
  <si>
    <t>- Paleta: laranja principal #EF4517; tons de laranja para séries extras #F47D5D, #F9B4A2, #FCDAD1; cinzas para referência/secundário #BFBFBF e #8C8C8C; textos em #1A1A1A e #595959. Não use outras cores.</t>
  </si>
  <si>
    <t>- Fundo branco (#FFFFFF) no gráfico e na página; sem bordas no gráfico, sem sombras, sem 3D, sem gradientes.</t>
  </si>
  <si>
    <t>- Fonte: Calibri (fallback: Arial, sans-serif) em todo o gráfico.</t>
  </si>
  <si>
    <t>- Título do gráfico: 18 px, negrito, cor #1A1A1A, alinhado à esquerda. Subtítulo logo abaixo: 13 px, cor #595959.</t>
  </si>
  <si>
    <t>- Textos de eixos e legendas: 11–12 px, cor #595959. Linhas de eixo finas em #BFBFBF; linhas de grade finas em #E6E6E6; sem marcas de escala (ticks).</t>
  </si>
  <si>
    <t>- Wordmark "CFOs.AI" no canto superior direito, texto em negrito na cor #EF4517. Rodapé à esquerda: "Fonte: dados fictícios · CFOs.AI" em 10 px, cor #8C8C8C.</t>
  </si>
  <si>
    <t>- Números em formato brasileiro nos rótulos (ponto como separador de milhar e vírgula decimal; ex.: 1.234; 12,5%).</t>
  </si>
  <si>
    <t>- Proporção 16:9 (960 × 540 px), margens generosas e nada de elementos decorativos extras.</t>
  </si>
  <si>
    <t>ENTREGUE DUAS SAÍDAS, cada uma em um bloco de código separado e completo:</t>
  </si>
  <si>
    <t>(a) Python: um único script executável (matplotlib + numpy, sem outras dependências), com os dados declarados no próprio script, que aplica todas as especificações acima e salva o gráfico em "colunas.png"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</si>
  <si>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(https://cdn.jsdelivr.net/npm/chart.js); mostre o gráfico em um card branco centralizado (max-w-4xl, padding generoso, sem sombra), com título, subtítulo, wordmark e rodapé em HTML, e as mesmas cores, fontes e dados.</t>
  </si>
  <si>
    <t>Não explique demais: entregue o código pronto para rodar.</t>
  </si>
  <si>
    <t>02 · Barras horizontais</t>
  </si>
  <si>
    <t>Natureza da despesa</t>
  </si>
  <si>
    <t>Pessoal e encargos</t>
  </si>
  <si>
    <t>Tecnologia e software</t>
  </si>
  <si>
    <t>Marketing e mídia</t>
  </si>
  <si>
    <t>Aluguel e facilities</t>
  </si>
  <si>
    <t>Serviços de terceiros</t>
  </si>
  <si>
    <t>Viagens e deslocamentos</t>
  </si>
  <si>
    <t>Outras despesas</t>
  </si>
  <si>
    <t>Valor</t>
  </si>
  <si>
    <t>Você é especialista em visualização de dados financeiros. Crie um gráfico de barras horizontais ordenadas com o título "Despesas operacionais por natureza · 2026" e o subtítulo "Quais despesas mais pesam no resultado?".</t>
  </si>
  <si>
    <t>| Natureza da despesa | Valor |</t>
  </si>
  <si>
    <t>| Pessoal e encargos | 3150 |</t>
  </si>
  <si>
    <t>| Tecnologia e software | 1240 |</t>
  </si>
  <si>
    <t>| Marketing e mídia | 980 |</t>
  </si>
  <si>
    <t>| Aluguel e facilities | 760 |</t>
  </si>
  <si>
    <t>| Serviços de terceiros | 640 |</t>
  </si>
  <si>
    <t>| Viagens e deslocamentos | 310 |</t>
  </si>
  <si>
    <t>| Outras despesas | 220 |</t>
  </si>
  <si>
    <t>- Barras horizontais ordenadas do maior (no topo) para o menor (embaixo).</t>
  </si>
  <si>
    <t>- Destaque: a maior barra ("Pessoal e encargos") em #EF4517; todas as outras em cinza claro #BFBFBF.</t>
  </si>
  <si>
    <t>- Nomes das categorias à esquerda; eixo X a partir de zero com título "R$ mil" e grade vertical fina.</t>
  </si>
  <si>
    <t>- Rótulo de valor no fim de cada barra (ex.: 3.150), 11 px, cor #1A1A1A. Sem legenda.</t>
  </si>
  <si>
    <t>(a) Python: um único script executável (matplotlib + numpy, sem outras dependências), com os dados declarados no próprio script, que aplica todas as especificações acima e salva o gráfico em "barras.png"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</si>
  <si>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(indexAxis: 'y'); mostre o gráfico em um card branco centralizado (max-w-4xl, padding generoso, sem sombra), com título, subtítulo, wordmark e rodapé em HTML, e as mesmas cores, fontes e dados.</t>
  </si>
  <si>
    <t>03 · Colunas agrupadas</t>
  </si>
  <si>
    <t>Trimestre</t>
  </si>
  <si>
    <t>T1</t>
  </si>
  <si>
    <t>T2</t>
  </si>
  <si>
    <t>T3</t>
  </si>
  <si>
    <t>T4</t>
  </si>
  <si>
    <t>Orçado</t>
  </si>
  <si>
    <t>Realizado</t>
  </si>
  <si>
    <t>Você é especialista em visualização de dados financeiros. Crie um gráfico de colunas agrupadas com o título "EBITDA orçado vs. realizado por trimestre · 2026" e o subtítulo "Em que trimestre o realizado se afastou do orçamento?".</t>
  </si>
  <si>
    <t>| Trimestre | Orçado | Realizado |</t>
  </si>
  <si>
    <t>|---|---|---|</t>
  </si>
  <si>
    <t>| T1 | 1800 | 1720 |</t>
  </si>
  <si>
    <t>| T2 | 2000 | 2090 |</t>
  </si>
  <si>
    <t>| T3 | 2150 | 1980 |</t>
  </si>
  <si>
    <t>| T4 | 2400 | 2510 |</t>
  </si>
  <si>
    <t>- Para cada trimestre, duas colunas lado a lado: "Orçado" em cinza #BFBFBF (referência) e "Realizado" em laranja #EF4517.</t>
  </si>
  <si>
    <t>- Pequeno espaço entre as colunas do mesmo grupo e espaço maior entre trimestres.</t>
  </si>
  <si>
    <t>- Eixo Y a partir de zero, formato de milhar, título "R$ mil"; grade horizontal fina.</t>
  </si>
  <si>
    <t>- Rótulos de valor acima de cada coluna em 10 px, cor #595959. Legenda embaixo, centralizada.</t>
  </si>
  <si>
    <t>(a) Python: um único script executável (matplotlib + numpy, sem outras dependências), com os dados declarados no próprio script, que aplica todas as especificações acima e salva o gráfico em "agrupadas.png" (dpi 200, fundo branco). Ao final, chame plt.close().</t>
  </si>
  <si>
    <t>04 · Colunas empilhadas</t>
  </si>
  <si>
    <t>Loja</t>
  </si>
  <si>
    <t>Online</t>
  </si>
  <si>
    <t>B2B</t>
  </si>
  <si>
    <t>Você é especialista em visualização de dados financeiros. Crie um gráfico de colunas empilhadas com o título "Receita por canal e trimestre · 2026" e o subtítulo "Quanto cada canal contribui para o total do trimestre?".</t>
  </si>
  <si>
    <t>| Trimestre | Loja | Online | B2B | Total |</t>
  </si>
  <si>
    <t>|---|---|---|---|---|</t>
  </si>
  <si>
    <t>| T1 | 2100 | 1200 | 900 | 4200 |</t>
  </si>
  <si>
    <t>| T2 | 2050 | 1450 | 950 | 4450 |</t>
  </si>
  <si>
    <t>| T3 | 2200 | 1700 | 1000 | 4900 |</t>
  </si>
  <si>
    <t>| T4 | 2600 | 2050 | 1150 | 5800 |</t>
  </si>
  <si>
    <t>- Uma coluna por trimestre empilhando de baixo para cima: Loja (#EF4517), Online (#F47D5D), B2B (#F9B4A2).</t>
  </si>
  <si>
    <t>- Rótulo de valor no centro de cada segmento (texto branco sobre #EF4517, #1A1A1A sobre os tons claros) e o total acima de cada coluna em negrito.</t>
  </si>
  <si>
    <t>- Linhas brancas finas separando os segmentos. Legenda embaixo, centralizada.</t>
  </si>
  <si>
    <t>(a) Python: um único script executável (matplotlib + numpy, sem outras dependências), com os dados declarados no próprio script, que aplica todas as especificações acima e salva o gráfico em "empilhadas.png" (dpi 200, fundo branco). Ao final, chame plt.close().</t>
  </si>
  <si>
    <t>05 · Empilhadas 100%</t>
  </si>
  <si>
    <t>Ano</t>
  </si>
  <si>
    <t>2023</t>
  </si>
  <si>
    <t>2024</t>
  </si>
  <si>
    <t>2025</t>
  </si>
  <si>
    <t>2026</t>
  </si>
  <si>
    <t>Total</t>
  </si>
  <si>
    <t>% Loja</t>
  </si>
  <si>
    <t>% Online</t>
  </si>
  <si>
    <t>% B2B</t>
  </si>
  <si>
    <t>Você é especialista em visualização de dados financeiros. Crie um gráfico de colunas empilhadas 100% com o título "Mix de receita por canal · 2023–2026" e o subtítulo "O mix de canais está mudando ao longo dos anos?".</t>
  </si>
  <si>
    <t>| Ano | Loja | Online | B2B | Total | % Loja | % Online | % B2B |</t>
  </si>
  <si>
    <t>|---|---|---|---|---|---|---|---|</t>
  </si>
  <si>
    <t>| 2023 | 6960 | 2640 | 2400 | 12000 | 58,0% | 22,0% | 20,0% |</t>
  </si>
  <si>
    <t>| 2024 | 6760 | 3640 | 2600 | 13000 | 52,0% | 28,0% | 20,0% |</t>
  </si>
  <si>
    <t>| 2025 | 6580 | 4620 | 2800 | 14000 | 47,0% | 33,0% | 20,0% |</t>
  </si>
  <si>
    <t>| 2026 | 6150 | 5700 | 3150 | 15000 | 41,0% | 38,0% | 21,0% |</t>
  </si>
  <si>
    <t>- Uma coluna por ano, cada uma somando 100%, empilhando de baixo para cima: Loja (#EF4517), Online (#F47D5D), B2B (#F9B4A2).</t>
  </si>
  <si>
    <t>- Calcule as participações a partir dos valores em R$ mil (as % da tabela servem de conferência).</t>
  </si>
  <si>
    <t>- Eixo Y de 0% a 100% com marcas a cada 20%; grade horizontal fina.</t>
  </si>
  <si>
    <t>- Rótulo da participação no centro de cada segmento com 1 casa decimal (ex.: 41,0%); texto branco sobre #EF4517 e #1A1A1A sobre os tons claros.</t>
  </si>
  <si>
    <t>(a) Python: um único script executável (matplotlib + numpy, sem outras dependências), com os dados declarados no próprio script, que aplica todas as especificações acima e salva o gráfico em "empilhadas100.png" (dpi 200, fundo branco). Ao final, chame plt.close().</t>
  </si>
  <si>
    <t>06 · Linhas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</si>
  <si>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</si>
  <si>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</si>
  <si>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</si>
  <si>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</si>
  <si>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</si>
  <si>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</si>
  <si>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</si>
  <si>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</si>
  <si>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</si>
  <si>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</si>
  <si>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</si>
  <si>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</si>
  <si>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</si>
  <si>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de caixa</t>
  </si>
  <si>
    <t>Caixa mínimo</t>
  </si>
  <si>
    <t>Você é especialista em visualização de dados financeiros. Crie um gráfico de linhas com o título "Saldo de caixa no fim do mês · 2026" e o subtítulo "O caixa melhora ou piora ao longo do ano? Fica acima do mínimo?".</t>
  </si>
  <si>
    <t>| Mês | Saldo de caixa | Caixa mínimo |</t>
  </si>
  <si>
    <t>| Jan | 3200 | 2500 |</t>
  </si>
  <si>
    <t>| Fev | 2950 | 2500 |</t>
  </si>
  <si>
    <t>| Mar | 2700 | 2500 |</t>
  </si>
  <si>
    <t>| Abr | 2850 | 2500 |</t>
  </si>
  <si>
    <t>| Mai | 3100 | 2500 |</t>
  </si>
  <si>
    <t>| Jun | 2600 | 2500 |</t>
  </si>
  <si>
    <t>| Jul | 2400 | 2500 |</t>
  </si>
  <si>
    <t>| Ago | 2750 | 2500 |</t>
  </si>
  <si>
    <t>| Set | 3050 | 2500 |</t>
  </si>
  <si>
    <t>| Out | 3400 | 2500 |</t>
  </si>
  <si>
    <t>| Nov | 3300 | 2500 |</t>
  </si>
  <si>
    <t>| Dez | 3900 | 2500 |</t>
  </si>
  <si>
    <t>- Série "Saldo de caixa": linha contínua #EF4517, 2,5 px, com marcadores circulares preenchidos na mesma cor e rótulo do valor acima de cada ponto (10 px, #595959).</t>
  </si>
  <si>
    <t>- Série "Caixa mínimo": linha tracejada cinza #8C8C8C, 1,25 px, sem marcadores (é a referência).</t>
  </si>
  <si>
    <t>- Eixo X com os meses (Jan a Dez); eixo Y a partir de zero, formato de milhar, título "R$ mil"; grade horizontal fina.</t>
  </si>
  <si>
    <t>- Legenda embaixo, centralizada.</t>
  </si>
  <si>
    <t>(a) Python: um único script executável (matplotlib + numpy, sem outras dependências), com os dados declarados no próprio script, que aplica todas as especificações acima e salva o gráfico em "linhas.png" (dpi 200, fundo branco). Ao final, chame plt.close().</t>
  </si>
  <si>
    <t>07 · Área</t>
  </si>
  <si>
    <t>MRR</t>
  </si>
  <si>
    <t>Você é especialista em visualização de dados financeiros. Crie um gráfico de área com o título "Receita recorrente mensal (MRR) · 2026" e o subtítulo "Como evoluiu a receita recorrente ao longo do ano?".</t>
  </si>
  <si>
    <t>| Mês | MRR |</t>
  </si>
  <si>
    <t>| Jan | 820 |</t>
  </si>
  <si>
    <t>| Fev | 845 |</t>
  </si>
  <si>
    <t>| Mar | 870 |</t>
  </si>
  <si>
    <t>| Abr | 910 |</t>
  </si>
  <si>
    <t>| Mai | 935 |</t>
  </si>
  <si>
    <t>| Jun | 960 |</t>
  </si>
  <si>
    <t>| Jul | 1010 |</t>
  </si>
  <si>
    <t>| Ago | 1050 |</t>
  </si>
  <si>
    <t>| Set | 1080 |</t>
  </si>
  <si>
    <t>| Out | 1130 |</t>
  </si>
  <si>
    <t>| Nov | 1170 |</t>
  </si>
  <si>
    <t>| Dez | 1230 |</t>
  </si>
  <si>
    <t>- Área única preenchida com #EF4517 a 25% de opacidade e linha superior sólida #EF4517 de 2,25 px.</t>
  </si>
  <si>
    <t>- Eixo Y a partir de zero, formato de milhar, título "R$ mil"; grade horizontal fina. Eixo X com os meses, com a área encostada nas bordas.</t>
  </si>
  <si>
    <t>- Rótulo destacado só no último ponto (Dez: 1.230) em negrito #EF4517. Sem legenda.</t>
  </si>
  <si>
    <t>(a) Python: um único script executável (matplotlib + numpy, sem outras dependências), com os dados declarados no próprio script, que aplica todas as especificações acima e salva o gráfico em "area.png"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</si>
  <si>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(type line com fill: true); mostre o gráfico em um card branco centralizado (max-w-4xl, padding generoso, sem sombra), com título, subtítulo, wordmark e rodapé em HTML, e as mesmas cores, fontes e dados.</t>
  </si>
  <si>
    <t>08 · Pizza</t>
  </si>
  <si>
    <t>Canal</t>
  </si>
  <si>
    <t>Receita</t>
  </si>
  <si>
    <t>% do total</t>
  </si>
  <si>
    <t>Você é especialista em visualização de dados financeiros. Crie um gráfico de pizza com o título "Receita anual por canal · 2026" e o subtítulo "Como a receita do ano se divide entre os canais?".</t>
  </si>
  <si>
    <t>| Canal | Valor (R$ mil) | % do total |</t>
  </si>
  <si>
    <t>| Loja | 6150 | 41,0% |</t>
  </si>
  <si>
    <t>| Online | 5700 | 38,0% |</t>
  </si>
  <si>
    <t>| B2B | 3150 | 21,0% |</t>
  </si>
  <si>
    <t>Total: 15.000</t>
  </si>
  <si>
    <t>- Pizza com 3 fatias no sentido horário a partir das 12h: Loja #EF4517, Online #F9B4A2, B2B #BFBFBF.</t>
  </si>
  <si>
    <t>- Separadores brancos de 1,5 px entre as fatias; sem destacar/explodir fatias.</t>
  </si>
  <si>
    <t>- Rótulo de % em cada fatia (sem casas decimais), negrito, cor #1A1A1A. Legenda à direita com o nome do canal.</t>
  </si>
  <si>
    <t>(a) Python: um único script executável (matplotlib + numpy, sem outras dependências), com os dados declarados no próprio script, que aplica todas as especificações acima e salva o gráfico em "pizza.png"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</si>
  <si>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(pie); mostre o gráfico em um card branco centralizado (max-w-4xl, padding generoso, sem sombra), com título, subtítulo, wordmark e rodapé em HTML, e as mesmas cores, fontes e dados.</t>
  </si>
  <si>
    <t>09 · Rosca</t>
  </si>
  <si>
    <t>Componente</t>
  </si>
  <si>
    <t>Matéria-prima</t>
  </si>
  <si>
    <t>Mão de obra direta</t>
  </si>
  <si>
    <t>Frete</t>
  </si>
  <si>
    <t>Embalagem</t>
  </si>
  <si>
    <t>Outros</t>
  </si>
  <si>
    <t>Você é especialista em visualização de dados financeiros. Crie um gráfico de rosca (donut) com o título "Composição do custo dos produtos vendidos · 2026" e o subtítulo "Qual o peso de cada componente no CPV?".</t>
  </si>
  <si>
    <t>| Componente | Valor (R$ mil) | % do total |</t>
  </si>
  <si>
    <t>| Matéria-prima | 4300 | 51,2% |</t>
  </si>
  <si>
    <t>| Mão de obra direta | 2100 | 25,0% |</t>
  </si>
  <si>
    <t>| Frete | 950 | 11,3% |</t>
  </si>
  <si>
    <t>| Embalagem | 620 | 7,4% |</t>
  </si>
  <si>
    <t>| Outros | 430 | 5,1% |</t>
  </si>
  <si>
    <t>Total: 8.400</t>
  </si>
  <si>
    <t>- Rosca com furo central de ~58% do raio; fatias no sentido horário a partir das 12h, na ordem da tabela, com cores #EF4517, #F47D5D, #F9B4A2, #BFBFBF, #8C8C8C.</t>
  </si>
  <si>
    <t>- Separadores brancos de 1,5 px entre as fatias.</t>
  </si>
  <si>
    <t>- No centro, o total "R$ 8.400 mil" em negrito 22 px #1A1A1A e a palavra "CPV" em 12 px #595959 logo abaixo.</t>
  </si>
  <si>
    <t>- Rótulo de % sobre cada fatia (sem casas decimais) e legenda à direita com nome e valor.</t>
  </si>
  <si>
    <t>(a) Python: um único script executável (matplotlib + numpy, sem outras dependências), com os dados declarados no próprio script, que aplica todas as especificações acima e salva o gráfico em "rosca.png"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</si>
  <si>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(doughnut, cutout 58%); mostre o gráfico em um card branco centralizado (max-w-4xl, padding generoso, sem sombra), com título, subtítulo, wordmark e rodapé em HTML, e as mesmas cores, fontes e dados.</t>
  </si>
  <si>
    <t>10 · Dispersão</t>
  </si>
  <si>
    <t>Investimento em marketing</t>
  </si>
  <si>
    <t>Receita nova</t>
  </si>
  <si>
    <t>Você é especialista em visualização de dados financeiros. Crie um gráfico de dispersão (scatter) com linha de tendência com o título "Investimento em marketing vs. receita nova · 2026" e o subtítulo "Mais investimento comercial vem acompanhado de mais receita nova?".</t>
  </si>
  <si>
    <t>| Mês | Investimento em marketing | Receita nova |</t>
  </si>
  <si>
    <t>| Jan | 80 | 410 |</t>
  </si>
  <si>
    <t>| Fev | 95 | 450 |</t>
  </si>
  <si>
    <t>| Mar | 110 | 520 |</t>
  </si>
  <si>
    <t>| Abr | 105 | 480 |</t>
  </si>
  <si>
    <t>| Mai | 130 | 590 |</t>
  </si>
  <si>
    <t>| Jun | 150 | 640 |</t>
  </si>
  <si>
    <t>| Jul | 140 | 600 |</t>
  </si>
  <si>
    <t>| Ago | 165 | 700 |</t>
  </si>
  <si>
    <t>| Set | 180 | 760 |</t>
  </si>
  <si>
    <t>| Out | 175 | 720 |</t>
  </si>
  <si>
    <t>| Nov | 200 | 820 |</t>
  </si>
  <si>
    <t>| Dez | 220 | 880 |</t>
  </si>
  <si>
    <t>- Cada mês é um ponto: X = investimento em marketing, Y = receita nova. Marcadores circulares de 8 px em #EF4517 com borda branca fina.</t>
  </si>
  <si>
    <t>- Linha de tendência linear (mínimos quadrados) tracejada cinza #8C8C8C, 1,25 px, legendada "Tendência linear".</t>
  </si>
  <si>
    <t>- Eixo X de 60 a 240 com título "Investimento em marketing (R$ mil)"; eixo Y de 300 a 950 com título "Receita nova (R$ mil)"; grade fina nos dois eixos.</t>
  </si>
  <si>
    <t>- Rótulo com o nome do mês ao lado de cada ponto em 9 px, cor #595959. Legenda embaixo.</t>
  </si>
  <si>
    <t>(a) Python: um único script executável (matplotlib + numpy, sem outras dependências), com os dados declarados no próprio script, que aplica todas as especificações acima e salva o gráfico em "dispersao.png"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</si>
  <si>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(scatter); mostre o gráfico em um card branco centralizado (max-w-4xl, padding generoso, sem sombra), com título, subtítulo, wordmark e rodapé em HTML, e as mesmas cores, fontes e dados.</t>
  </si>
  <si>
    <t>11 · Bolhas</t>
  </si>
  <si>
    <t>Unidade</t>
  </si>
  <si>
    <t>Varejo</t>
  </si>
  <si>
    <t>Atacado</t>
  </si>
  <si>
    <t>E-commerce</t>
  </si>
  <si>
    <t>Serviços</t>
  </si>
  <si>
    <t>Franquias</t>
  </si>
  <si>
    <t>Exportação</t>
  </si>
  <si>
    <t>Receita (R$ mil)</t>
  </si>
  <si>
    <t>Margem EBITDA</t>
  </si>
  <si>
    <t>Colaboradores (nº)</t>
  </si>
  <si>
    <t>Você é especialista em visualização de dados financeiros. Crie um gráfico de bolhas com o título "Unidades de negócio: receita, margem e equipe · 2026" e o subtítulo "Quais unidades combinam escala, rentabilidade e tamanho de equipe?".</t>
  </si>
  <si>
    <t>| Unidade | Receita (R$ mil) | Margem EBITDA | Colaboradores (nº) |</t>
  </si>
  <si>
    <t>|---|---|---|---|</t>
  </si>
  <si>
    <t>| Varejo | 9800 | 14% | 420 |</t>
  </si>
  <si>
    <t>| Atacado | 6200 | 9% | 160 |</t>
  </si>
  <si>
    <t>| E-commerce | 5100 | 18% | 95 |</t>
  </si>
  <si>
    <t>| Serviços | 2400 | 26% | 110 |</t>
  </si>
  <si>
    <t>| Franquias | 1800 | 31% | 25 |</t>
  </si>
  <si>
    <t>| Exportação | 3300 | 12% | 60 |</t>
  </si>
  <si>
    <t>- X = Receita (R$ mil), Y = Margem EBITDA (%), tamanho (área) da bolha proporcional ao nº de colaboradores.</t>
  </si>
  <si>
    <t>- Bolhas em #EF4517 com 65% de opacidade e borda #EF4517 de 1 px; a maior bolha com ~70 px de diâmetro.</t>
  </si>
  <si>
    <t>- Nome da unidade no centro da bolha (ou ao lado, se ela for pequena) em 10 px negrito, cor #1A1A1A.</t>
  </si>
  <si>
    <t>- Eixo X de 0 a 12.000 (passo 2.000) com título "Receita (R$ mil)"; eixo Y de 0% a 40% (passo 10%) com título "Margem EBITDA"; grade fina.</t>
  </si>
  <si>
    <t>- Nota pequena no canto inferior direito: "Tamanho da bolha = nº de colaboradores", cor #8C8C8C. Sem legenda.</t>
  </si>
  <si>
    <t>(a) Python: um único script executável (matplotlib + numpy, sem outras dependências), com os dados declarados no próprio script, que aplica todas as especificações acima e salva o gráfico em "bolhas.png"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</si>
  <si>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(bubble); mostre o gráfico em um card branco centralizado (max-w-4xl, padding generoso, sem sombra), com título, subtítulo, wordmark e rodapé em HTML, e as mesmas cores, fontes e dados.</t>
  </si>
  <si>
    <t>12 · Radar</t>
  </si>
  <si>
    <t>Dimensão</t>
  </si>
  <si>
    <t>Fechamento contábil</t>
  </si>
  <si>
    <t>Planejamento (FP&amp;A)</t>
  </si>
  <si>
    <t>Tesouraria</t>
  </si>
  <si>
    <t>Controles internos</t>
  </si>
  <si>
    <t>Dados e BI</t>
  </si>
  <si>
    <t>Automação</t>
  </si>
  <si>
    <t>Atual</t>
  </si>
  <si>
    <t>Meta 2027</t>
  </si>
  <si>
    <t>Você é especialista em visualização de dados financeiros. Crie um gráfico de radar (teia) com o título "Maturidade da área financeira (0 a 5)" e o subtítulo "Em quais dimensões estamos mais distantes da meta?".</t>
  </si>
  <si>
    <t>DADOS (fictícios; unidade: notas de 0 a 5). Use exatamente estes valores, sem inventar outros:</t>
  </si>
  <si>
    <t>| Dimensão | Atual | Meta 2027 |</t>
  </si>
  <si>
    <t>| Fechamento contábil | 3.5 | 4.5 |</t>
  </si>
  <si>
    <t>| Planejamento (FP&amp;A) | 2.5 | 4.0 |</t>
  </si>
  <si>
    <t>| Tesouraria | 4.0 | 4.5 |</t>
  </si>
  <si>
    <t>| Controles internos | 3.0 | 4.0 |</t>
  </si>
  <si>
    <t>| Dados e BI | 2.0 | 4.0 |</t>
  </si>
  <si>
    <t>| Automação | 1.5 | 3.5 |</t>
  </si>
  <si>
    <t>- Seis eixos, um por dimensão, na ordem da tabela, começando no topo e seguindo no sentido horário.</t>
  </si>
  <si>
    <t>- Escala radial de 0 a 5 com anéis a cada 1 ponto, grade fina #E6E6E6, números da escala em 9 px #595959.</t>
  </si>
  <si>
    <t>- Série "Atual": linha #EF4517 de 2,5 px com marcadores circulares e preenchimento #EF4517 a 15% de opacidade.</t>
  </si>
  <si>
    <t>- Série "Meta 2027": linha tracejada cinza #8C8C8C de 1,25 px, sem preenchimento e sem marcadores.</t>
  </si>
  <si>
    <t>- Rótulos das dimensões fora do círculo em 11 px #1A1A1A. Legenda embaixo.</t>
  </si>
  <si>
    <t>(a) Python: um único script executável (matplotlib + numpy, sem outras dependências), com os dados declarados no próprio script, que aplica todas as especificações acima e salva o gráfico em "radar.png"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</si>
  <si>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(radar); mostre o gráfico em um card branco centralizado (max-w-4xl, padding generoso, sem sombra), com título, subtítulo, wordmark e rodapé em HTML, e as mesmas cores, fontes e dados.</t>
  </si>
  <si>
    <t>13 · Histograma</t>
  </si>
  <si>
    <t>Faixa (dias)</t>
  </si>
  <si>
    <t>0–15</t>
  </si>
  <si>
    <t>16–30</t>
  </si>
  <si>
    <t>31–45</t>
  </si>
  <si>
    <t>46–60</t>
  </si>
  <si>
    <t>61–75</t>
  </si>
  <si>
    <t>76–90</t>
  </si>
  <si>
    <t>&gt; 90</t>
  </si>
  <si>
    <t>Nº de faturas</t>
  </si>
  <si>
    <t>Você é especialista em visualização de dados financeiros. Crie um gráfico de histograma (faixas já agrupadas) com o título "Distribuição do prazo de recebimento das faturas · 2026" e o subtítulo "Em quais faixas de dias se concentram os recebimentos?".</t>
  </si>
  <si>
    <t>DADOS (fictícios; unidade: quantidade de faturas). Use exatamente estes valores, sem inventar outros:</t>
  </si>
  <si>
    <t>| Faixa (dias) | Nº de faturas |</t>
  </si>
  <si>
    <t>| 0–15 | 42 |</t>
  </si>
  <si>
    <t>| 16–30 | 118 |</t>
  </si>
  <si>
    <t>| 31–45 | 96 |</t>
  </si>
  <si>
    <t>| 46–60 | 51 |</t>
  </si>
  <si>
    <t>| 61–75 | 24 |</t>
  </si>
  <si>
    <t>| 76–90 | 12 |</t>
  </si>
  <si>
    <t>| &gt; 90 | 7 |</t>
  </si>
  <si>
    <t>Total de faturas: 350</t>
  </si>
  <si>
    <t>- Os dados já estão agrupados em faixas de 15 dias: desenhe uma barra por faixa, sem recalcular as faixas.</t>
  </si>
  <si>
    <t>- Barras encostadas (separação branca de ~1 px), cor #EF4517.</t>
  </si>
  <si>
    <t>- Eixo X com os rótulos das faixas e título "Prazo de recebimento (dias)"; eixo Y a partir de zero com título "Nº de faturas"; grade horizontal fina.</t>
  </si>
  <si>
    <t>- Rótulo da contagem acima de cada barra em 11 px #1A1A1A. Sem legenda.</t>
  </si>
  <si>
    <t>(a) Python: um único script executável (matplotlib + numpy, sem outras dependências), com os dados declarados no próprio script, que aplica todas as especificações acima e salva o gráfico em "histograma.png"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</si>
  <si>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(bar com barPercentage 1 e categoryPercentage 1); mostre o gráfico em um card branco centralizado (max-w-4xl, padding generoso, sem sombra), com título, subtítulo, wordmark e rodapé em HTML, e as mesmas cores, fontes e dados.</t>
  </si>
  <si>
    <t>14 · Cascata (ponte do EBITDA)</t>
  </si>
  <si>
    <t>Etapa</t>
  </si>
  <si>
    <t>Acumulado</t>
  </si>
  <si>
    <t>Base (invisível)</t>
  </si>
  <si>
    <t>Aumento</t>
  </si>
  <si>
    <t>Redução</t>
  </si>
  <si>
    <t>EBITDA 2025</t>
  </si>
  <si>
    <t>Volume de vendas</t>
  </si>
  <si>
    <t>Preço</t>
  </si>
  <si>
    <t>Mix de produtos</t>
  </si>
  <si>
    <t>Custo de insumos</t>
  </si>
  <si>
    <t>Despesas com pessoal</t>
  </si>
  <si>
    <t>Eficiência operacional</t>
  </si>
  <si>
    <t>EBITDA 2026</t>
  </si>
  <si>
    <t>Edite só a coluna "Valor" (EBITDA 2025 e variações): acumulado, base, aumento, redução e total são recalculados.</t>
  </si>
  <si>
    <t>Você é especialista em visualização de dados financeiros. Crie um gráfico de cascata (waterfall / ponte do EBITDA) com o título "Ponte do EBITDA · 2025 → 2026" e o subtítulo "O que explica a variação do EBITDA de um ano para o outro?".</t>
  </si>
  <si>
    <t>| Etapa | Tipo | Valor | Acumulado |</t>
  </si>
  <si>
    <t>| EBITDA 2025 | total inicial | 7800 | 7800 |</t>
  </si>
  <si>
    <t>| Volume de vendas | variação | +1450 | 9250 |</t>
  </si>
  <si>
    <t>| Preço | variação | +820 | 10070 |</t>
  </si>
  <si>
    <t>| Mix de produtos | variação | -310 | 9760 |</t>
  </si>
  <si>
    <t>| Custo de insumos | variação | -960 | 8800 |</t>
  </si>
  <si>
    <t>| Despesas com pessoal | variação | -540 | 8260 |</t>
  </si>
  <si>
    <t>| Eficiência operacional | variação | +390 | 8650 |</t>
  </si>
  <si>
    <t>| EBITDA 2026 | total final (calculado) | 8650 | 8650 |</t>
  </si>
  <si>
    <t>- Colunas na ordem da tabela. "EBITDA 2025" e "EBITDA 2026" são colunas cheias que partem do zero.</t>
  </si>
  <si>
    <t>- As variações são colunas flutuantes: cada uma começa onde terminou o acumulado anterior e vai até o novo acumulado.</t>
  </si>
  <si>
    <t>- Cores: totais em #EF4517; aumentos em laranja claro #F9B4A2; reduções em cinza #BFBFBF.</t>
  </si>
  <si>
    <t>- Linhas conectoras horizontais finas (#BFBFBF, 0,75 px, tracejadas) ligando o topo de cada coluna ao início da próxima.</t>
  </si>
  <si>
    <t>- Rótulos: totais com o valor (ex.: 7.800) em negrito; variações com sinal (ex.: +1.450 e −960) em 10 px #1A1A1A.</t>
  </si>
  <si>
    <t>- Eixo Y a partir de zero, formato de milhar, título "R$ mil"; grade horizontal fina. Rótulos do eixo X podem quebrar em 2 linhas.</t>
  </si>
  <si>
    <t>- Legenda embaixo com três itens: Total, Aumento, Redução.</t>
  </si>
  <si>
    <t>(a) Python: um único script executável (matplotlib + numpy, sem outras dependências), com os dados declarados no próprio script, que aplica todas as especificações acima e salva o gráfico em "cascata.png" (dpi 200, fundo branco). Ao final, chame plt.close(). Implemente a cascata com ax.bar usando o parâmetro bottom (base invisível).</t>
  </si>
  <si>
    <t>(b) HTML: um único arquivo .html autocontido que carrega Tailwind CSS via CDN (&lt;script src="https://cdn.tailwindcss.com"&gt;&lt;/script&gt;) e Chart.js 4 via CDN (https://cdn.jsdelivr.net/npm/chart.js) (barras flutuantes: cada dado como [início, fim]); mostre o gráfico em um card branco centralizado (max-w-4xl, padding generoso, sem sombra), com título, subtítulo, wordmark e rodapé em HTML, e as mesmas cores, fontes e dados.</t>
  </si>
  <si>
    <t>15 · Gantt (fechamento mensal)</t>
  </si>
  <si>
    <t>Responsável</t>
  </si>
  <si>
    <t>Início (dia útil)</t>
  </si>
  <si>
    <t>Duração (dias)</t>
  </si>
  <si>
    <t>Fim (dia útil)</t>
  </si>
  <si>
    <t>Corte de faturamento e vendas</t>
  </si>
  <si>
    <t>Faturamento</t>
  </si>
  <si>
    <t>Conciliações bancárias</t>
  </si>
  <si>
    <t>Provisões e apropriações</t>
  </si>
  <si>
    <t>Contabilidade</t>
  </si>
  <si>
    <t>Inventário e custo dos estoques</t>
  </si>
  <si>
    <t>Custos</t>
  </si>
  <si>
    <t>Impostos e apurações</t>
  </si>
  <si>
    <t>Fiscal</t>
  </si>
  <si>
    <t>Consolidação e eliminações</t>
  </si>
  <si>
    <t>Revisão analítica (DRE/BP)</t>
  </si>
  <si>
    <t>Controladoria</t>
  </si>
  <si>
    <t>Relatório gerencial</t>
  </si>
  <si>
    <t>FP&amp;A</t>
  </si>
  <si>
    <t>Reunião de resultados</t>
  </si>
  <si>
    <t>CFO</t>
  </si>
  <si>
    <t>Você é especialista em visualização de dados financeiros. Crie um gráfico de Gantt (cronograma em barras horizontais) com o título "Cronograma do fechamento mensal (dias úteis)" e o subtítulo "Quais etapas do fechamento acontecem ao mesmo tempo até o D+8?".</t>
  </si>
  <si>
    <t>DADOS (fictícios; unidade: dias úteis). Use exatamente estes valores, sem inventar outros:</t>
  </si>
  <si>
    <t>| Etapa | Responsável | Início (dia útil) | Duração (dias) | Fim (dia útil) |</t>
  </si>
  <si>
    <t>| Corte de faturamento e vendas | Faturamento | 1 | 1 | 1 |</t>
  </si>
  <si>
    <t>| Conciliações bancárias | Tesouraria | 1 | 2 | 2 |</t>
  </si>
  <si>
    <t>| Provisões e apropriações | Contabilidade | 2 | 2 | 3 |</t>
  </si>
  <si>
    <t>| Inventário e custo dos estoques | Custos | 2 | 3 | 4 |</t>
  </si>
  <si>
    <t>| Impostos e apurações | Fiscal | 3 | 2 | 4 |</t>
  </si>
  <si>
    <t>| Consolidação e eliminações | Contabilidade | 4 | 2 | 5 |</t>
  </si>
  <si>
    <t>| Revisão analítica (DRE/BP) | Controladoria | 5 | 2 | 6 |</t>
  </si>
  <si>
    <t>| Relatório gerencial | FP&amp;A | 6 | 2 | 7 |</t>
  </si>
  <si>
    <t>| Reunião de resultados | CFO | 8 | 1 | 8 |</t>
  </si>
  <si>
    <t>- Uma barra horizontal por etapa, na ordem da tabela de cima para baixo. A barra vai de (Início − 1) até (Início − 1 + Duração) no eixo X; ex.: início 2 e duração 3 ocupa de 1 a 4 (D2 a D4).</t>
  </si>
  <si>
    <t>- Barras em #EF4517, cantos levemente arredondados (raio 3 px), com a duração escrita dentro em branco negrito (ex.: "3 d").</t>
  </si>
  <si>
    <t>- Nome da etapa à esquerda; o responsável em cinza #8C8C8C, entre parênteses após o nome.</t>
  </si>
  <si>
    <t>- Eixo X de 0 a 9 com marcas inteiras rotuladas D+0 … D+9 (a marca k = fim do dia útil k), título "Dias úteis após o fim do mês (fim do dia)" e grade vertical fina #E6E6E6.</t>
  </si>
  <si>
    <t>- Linha vertical tracejada #8C8C8C em x = 8 com o texto "Meta: resultado no D+8". Sem legenda.</t>
  </si>
  <si>
    <t>(a) Python: um único script executável (matplotlib + numpy, sem outras dependências), com os dados declarados no próprio script, que aplica todas as especificações acima e salva o gráfico em "gantt.png" (dpi 200, fundo branco). Ao final, chame plt.close(). Implemente com ax.barh usando o parâmetro left (= Início − 1).</t>
  </si>
  <si>
    <t>(b) HTML: um único arquivo .html autocontido que carrega Tailwind CSS via CDN (&lt;script src="https://cdn.tailwindcss.com"&gt;&lt;/script&gt;) e Chart.js 4 via CDN (https://cdn.jsdelivr.net/npm/chart.js) (barras flutuantes com indexAxis: 'y') ou SVG puro; mostre o gráfico em um card branco centralizado (max-w-4xl, padding generoso, sem sombra), com título, subtítulo, wordmark e rodapé em HTML, e as mesmas cores, fontes e dados.</t>
  </si>
  <si>
    <t>16 · Slopegraph</t>
  </si>
  <si>
    <t>Linha de produto</t>
  </si>
  <si>
    <t>Linha A</t>
  </si>
  <si>
    <t>Linha B</t>
  </si>
  <si>
    <t>Linha C</t>
  </si>
  <si>
    <t>Linha D</t>
  </si>
  <si>
    <t>Linha E</t>
  </si>
  <si>
    <t>Você é especialista em visualização de dados financeiros. Crie um gráfico de slopegraph (gráfico de inclinação) com o título "Margem bruta por linha de produto · 2025 vs. 2026" e o subtítulo "Quais linhas ganharam e quais perderam margem?".</t>
  </si>
  <si>
    <t>DADOS (fictícios; unidade: % da receita). Use exatamente estes valores, sem inventar outros:</t>
  </si>
  <si>
    <t>| Linha de produto | 2025 | 2026 |</t>
  </si>
  <si>
    <t>| Linha A | 18% | 24% |</t>
  </si>
  <si>
    <t>| Linha B | 22% | 21% |</t>
  </si>
  <si>
    <t>| Linha C | 15% | 19% |</t>
  </si>
  <si>
    <t>| Linha D | 27% | 23% |</t>
  </si>
  <si>
    <t>| Linha E | 12% | 16% |</t>
  </si>
  <si>
    <t>- Duas colunas verticais imaginárias: 2025 à esquerda e 2026 à direita (rótulos "2025" e "2026" em negrito no topo).</t>
  </si>
  <si>
    <t>- Para cada linha de produto, um segmento de reta ligando a margem de 2025 à de 2026, com marcadores circulares nas duas pontas.</t>
  </si>
  <si>
    <t>- Cores: linhas que melhoraram em laranja (Linha A #EF4517, Linha C #F47D5D, Linha E #F9B4A2); linhas que pioraram em cinza (Linha B #BFBFBF, Linha D #8C8C8C).</t>
  </si>
  <si>
    <t>- Rótulos à esquerda do ponto de 2025 ("Linha A 18%") e à direita do ponto de 2026 ("24%"), 11 px, cor #1A1A1A; afaste verticalmente se colidirem.</t>
  </si>
  <si>
    <t>- Escala vertical de 10% a 30%, sem eixo Y visível e sem grade. Sem legenda (os rótulos identificam as linhas).</t>
  </si>
  <si>
    <t>(a) Python: um único script executável (matplotlib + numpy, sem outras dependências), com os dados declarados no próprio script, que aplica todas as especificações acima e salva o gráfico em "slope.png"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</si>
  <si>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(line) ou SVG puro; mostre o gráfico em um card branco centralizado (max-w-4xl, padding generoso, sem sombra), com título, subtítulo, wordmark e rodapé em HTML, e as mesmas cores, fontes e dados.</t>
  </si>
  <si>
    <t>17 · Barras divergentes</t>
  </si>
  <si>
    <t>Desvio %</t>
  </si>
  <si>
    <t>Acima do orçado</t>
  </si>
  <si>
    <t>Abaixo do orçado</t>
  </si>
  <si>
    <t>Tecnologia</t>
  </si>
  <si>
    <t>Comercial</t>
  </si>
  <si>
    <t>Logística</t>
  </si>
  <si>
    <t>Operações</t>
  </si>
  <si>
    <t>Financeiro</t>
  </si>
  <si>
    <t>Recursos Humanos</t>
  </si>
  <si>
    <t>Marketing</t>
  </si>
  <si>
    <t>Jurídico</t>
  </si>
  <si>
    <t>Você é especialista em visualização de dados financeiros. Crie um gráfico de barras divergentes (horizontais, a partir do zero) com o título "Desvio das despesas vs. orçamento por área · 2026" e o subtítulo "Quais áreas gastaram acima do orçado e quais economizaram?".</t>
  </si>
  <si>
    <t>DADOS (fictícios; unidade: R$ mil e % sobre o orçado). Use exatamente estes valores, sem inventar outros:</t>
  </si>
  <si>
    <t>| Área | Orçado (R$ mil) | Realizado (R$ mil) | Desvio % |</t>
  </si>
  <si>
    <t>| Tecnologia | 1500 | 1680 | +12,0% |</t>
  </si>
  <si>
    <t>| Comercial | 2400 | 2604 | +8,5% |</t>
  </si>
  <si>
    <t>| Logística | 1800 | 1921 | +6,7% |</t>
  </si>
  <si>
    <t>| Operações | 3200 | 3341 | +4,4% |</t>
  </si>
  <si>
    <t>| Financeiro | 900 | 886 | -1,6% |</t>
  </si>
  <si>
    <t>| Recursos Humanos | 1100 | 1066 | -3,1% |</t>
  </si>
  <si>
    <t>| Marketing | 1300 | 1219 | -6,2% |</t>
  </si>
  <si>
    <t>| Jurídico | 600 | 541 | -9,8% |</t>
  </si>
  <si>
    <t>- Desvio % = Realizado ÷ Orçado − 1 (já calculado). Uma barra horizontal por área, na ordem da tabela (maior estouro no topo).</t>
  </si>
  <si>
    <t>- Barras saindo de uma linha vertical de zero (#595959, 1 px): desvios positivos (gastou acima) para a direita em #EF4517; negativos (economizou) para a esquerda em cinza #BFBFBF.</t>
  </si>
  <si>
    <t>- Nomes das áreas alinhados à esquerda, fora da área das barras (não sobre o zero).</t>
  </si>
  <si>
    <t>- Rótulo com sinal e 1 casa decimal na ponta de cada barra (ex.: +12,0% e −9,8%), 11 px #1A1A1A.</t>
  </si>
  <si>
    <t>- Eixo X de −15% a +15% com marcas a cada 5% e título "Desvio vs. orçado"; grade vertical fina.</t>
  </si>
  <si>
    <t>- Legenda embaixo: "Acima do orçado" e "Abaixo do orçado".</t>
  </si>
  <si>
    <t>(a) Python: um único script executável (matplotlib + numpy, sem outras dependências), com os dados declarados no próprio script, que aplica todas as especificações acima e salva o gráfico em "divergentes.png" (dpi 200, fundo branco). Ao final, chame plt.close().</t>
  </si>
  <si>
    <t>(b) HTML: um único arquivo .html autocontido que carrega Tailwind CSS via CDN (&lt;script src="https://cdn.tailwindcss.com"&gt;&lt;/script&gt;) e Chart.js 4 via CDN (https://cdn.jsdelivr.net/npm/chart.js) (indexAxis: 'y', cor por barra); mostre o gráfico em um card branco centralizado (max-w-4xl, padding generoso, sem sombra), com título, subtítulo, wordmark e rodapé em HTML, e as mesmas cores, fontes e dados.</t>
  </si>
  <si>
    <t>18 · Mapa de calor</t>
  </si>
  <si>
    <t>Escala:</t>
  </si>
  <si>
    <t>menor</t>
  </si>
  <si>
    <t>maior</t>
  </si>
  <si>
    <t>Mapa de calor feito com formatação condicional (escala de 2 cores: branco → #EF4517). Edite os números e as cores se ajustam.</t>
  </si>
  <si>
    <t>Você é especialista em visualização de dados financeiros. Crie um gráfico de mapa de calor (heatmap) em matriz com o título "Receita por regional e mês · 2026" e o subtítulo "Onde e quando a receita se concentra? Há sazonalidade?".</t>
  </si>
  <si>
    <t>| Regional | Jan | Fev | Mar | Abr | Mai | Jun | Jul | Ago | Set | Out | Nov | Dez |</t>
  </si>
  <si>
    <t>|---|---|---|---|---|---|---|---|---|---|---|---|---|</t>
  </si>
  <si>
    <t>| Norte | 310 | 295 | 330 | 345 | 360 | 350 | 340 | 365 | 375 | 390 | 420 | 520 |</t>
  </si>
  <si>
    <t>| Nordeste | 420 | 400 | 445 | 460 | 470 | 455 | 450 | 480 | 495 | 520 | 560 | 695 |</t>
  </si>
  <si>
    <t>| Centro-Oeste | 300 | 290 | 315 | 320 | 335 | 340 | 330 | 345 | 330 | 325 | 330 | 340 |</t>
  </si>
  <si>
    <t>| Sudeste | 690 | 660 | 720 | 750 | 780 | 770 | 760 | 800 | 820 | 860 | 950 | 1140 |</t>
  </si>
  <si>
    <t>| Sul | 480 | 455 | 500 | 515 | 530 | 520 | 505 | 535 | 545 | 560 | 600 | 655 |</t>
  </si>
  <si>
    <t>- Matriz com as regionais nas linhas (ordem da tabela) e os meses Jan–Dez nas colunas; cada célula é um retângulo com o valor escrito no centro.</t>
  </si>
  <si>
    <t>- Escala de cor contínua de uma só cor: branco #FFFFFF no menor valor da matriz até laranja #EF4517 no maior (interpolação linear).</t>
  </si>
  <si>
    <t>- Texto do valor em 11 px: #1A1A1A nas células claras e branco nas células com mais de 60% da intensidade.</t>
  </si>
  <si>
    <t>- Separadores brancos de 2 px entre as células; nomes das regionais à esquerda e meses no topo, em #595959.</t>
  </si>
  <si>
    <t>- Coluna extra à direita com o total anual de cada regional em negrito (sem cor de fundo).</t>
  </si>
  <si>
    <t>- Barra de legenda horizontal pequena abaixo da matriz indicando "menor → maior".</t>
  </si>
  <si>
    <t>(a) Python: um único script executável (matplotlib + numpy, sem outras dependências), com os dados declarados no próprio script, que aplica todas as especificações acima e salva o gráfico em "heatmap.png" (dpi 200, fundo branco). Ao final, chame plt.close(). Use ax.imshow com um LinearSegmentedColormap de branco para #EF4517.</t>
  </si>
  <si>
    <t>(b) HTML: um único arquivo .html autocontido que carrega Tailwind CSS via CDN (&lt;script src="https://cdn.tailwindcss.com"&gt;&lt;/script&gt;) e nenhuma biblioteca de gráficos: monte a matriz com &lt;table&gt; ou CSS grid do Tailwind (ou SVG puro), calculando a cor de cada célula em JavaScript; mostre o gráfico em um card branco centralizado (max-w-4xl, padding generoso, sem sombra), com título, subtítulo, wordmark e rodapé em HTML, e as mesmas cores, fontes e dados.</t>
  </si>
  <si>
    <t>19 · Pareto</t>
  </si>
  <si>
    <t>Motivo da devolução</t>
  </si>
  <si>
    <t>Valor devolvido</t>
  </si>
  <si>
    <t>% acumulado</t>
  </si>
  <si>
    <t>Referência 80%</t>
  </si>
  <si>
    <t>Atraso na entrega</t>
  </si>
  <si>
    <t>Produto avariado</t>
  </si>
  <si>
    <t>Erro de faturamento</t>
  </si>
  <si>
    <t>Pedido duplicado</t>
  </si>
  <si>
    <t>Especificação incorreta</t>
  </si>
  <si>
    <t>Arrependimento do cliente</t>
  </si>
  <si>
    <t>Você é especialista em visualização de dados financeiros. Crie um gráfico de Pareto (colunas + linha de % acumulado em eixo secundário) com o título "Devoluções por motivo · 2026" e o subtítulo "Quais poucos motivos explicam a maior parte do valor devolvido?".</t>
  </si>
  <si>
    <t>| Motivo da devolução | Valor devolvido | % do total | % acumulado |</t>
  </si>
  <si>
    <t>| Atraso na entrega | 420 | 36,8% | 36,8% |</t>
  </si>
  <si>
    <t>| Produto avariado | 310 | 27,2% | 64,0% |</t>
  </si>
  <si>
    <t>| Erro de faturamento | 180 | 15,8% | 79,8% |</t>
  </si>
  <si>
    <t>| Pedido duplicado | 95 | 8,3% | 88,2% |</t>
  </si>
  <si>
    <t>| Especificação incorreta | 70 | 6,1% | 94,3% |</t>
  </si>
  <si>
    <t>| Arrependimento do cliente | 40 | 3,5% | 97,8% |</t>
  </si>
  <si>
    <t>| Outros | 25 | 2,2% | 100,0% |</t>
  </si>
  <si>
    <t>Total: 1.140</t>
  </si>
  <si>
    <t>- Colunas com o valor devolvido por motivo, já ordenadas do maior para o menor ("Outros" por último), cor #EF4517, rótulo do valor dentro do topo da coluna em branco negrito.</t>
  </si>
  <si>
    <t>- Linha do % acumulado no eixo Y secundário (direita, 0% a 100%, passo 20%), cor #404040, 1,5 px, marcadores circulares brancos com borda #404040 e rótulos de % (sem decimais) acima de cada ponto.</t>
  </si>
  <si>
    <t>- Linha horizontal de referência tracejada cinza #8C8C8C em 80% no eixo secundário, com o texto "80%" à direita.</t>
  </si>
  <si>
    <t>- Eixo Y principal (esquerda) de 0 a 500 com título "R$ mil"; grade horizontal fina só do eixo principal.</t>
  </si>
  <si>
    <t>- Rótulos do eixo X podem quebrar em 2 linhas. Legenda embaixo: "Valor devolvido" e "% acumulado".</t>
  </si>
  <si>
    <t>(a) Python: um único script executável (matplotlib + numpy, sem outras dependências), com os dados declarados no próprio script, que aplica todas as especificações acima e salva o gráfico em "pareto.png" (dpi 200, fundo branco). Ao final, chame plt.close(). Use ax.twinx() para o eixo secundário.</t>
  </si>
  <si>
    <t>(b) HTML: um único arquivo .html autocontido que carrega Tailwind CSS via CDN (&lt;script src="https://cdn.tailwindcss.com"&gt;&lt;/script&gt;) e Chart.js 4 via CDN (https://cdn.jsdelivr.net/npm/chart.js) (gráfico misto bar + line, com eixo y1 à direita); mostre o gráfico em um card branco centralizado (max-w-4xl, padding generoso, sem sombra), com título, subtítulo, wordmark e rodapé em HTML, e as mesmas cores, fontes e dados.</t>
  </si>
  <si>
    <t>20 · Linhas indexadas (base 100)</t>
  </si>
  <si>
    <t>Despesas operacionais (R$ mil)</t>
  </si>
  <si>
    <t>Clientes ativos (nº)</t>
  </si>
  <si>
    <t>Receita (índice)</t>
  </si>
  <si>
    <t>Despesas (índice)</t>
  </si>
  <si>
    <t>Clientes (índice)</t>
  </si>
  <si>
    <t>T1/25</t>
  </si>
  <si>
    <t>T2/25</t>
  </si>
  <si>
    <t>T3/25</t>
  </si>
  <si>
    <t>T4/25</t>
  </si>
  <si>
    <t>T1/26</t>
  </si>
  <si>
    <t>T2/26</t>
  </si>
  <si>
    <t>T3/26</t>
  </si>
  <si>
    <t>T4/26</t>
  </si>
  <si>
    <t>Você é especialista em visualização de dados financeiros. Crie um gráfico de linhas indexadas (base 100) com o título "Receita, despesas e clientes · base 100 = T1/2025" e o subtítulo "O que cresceu mais rápido desde o início de 2025?".</t>
  </si>
  <si>
    <t>DADOS (fictícios; unidade: R$ mil, nº de clientes e índice (base 100)). Use exatamente estes valores, sem inventar outros:</t>
  </si>
  <si>
    <t>| Trimestre | Receita (R$ mil) | Despesas operacionais (R$ mil) | Clientes ativos (nº) | Receita (índice) | Despesas (índice) | Clientes (índice) |</t>
  </si>
  <si>
    <t>|---|---|---|---|---|---|---|</t>
  </si>
  <si>
    <t>| T1/25 | 4200 | 1500 | 1250 | 100,0 | 100,0 | 100,0 |</t>
  </si>
  <si>
    <t>| T2/25 | 4350 | 1540 | 1300 | 103,6 | 102,7 | 104,0 |</t>
  </si>
  <si>
    <t>| T3/25 | 4500 | 1600 | 1320 | 107,1 | 106,7 | 105,6 |</t>
  </si>
  <si>
    <t>| T4/25 | 4800 | 1700 | 1400 | 114,3 | 113,3 | 112,0 |</t>
  </si>
  <si>
    <t>| T1/26 | 4900 | 1780 | 1470 | 116,7 | 118,7 | 117,6 |</t>
  </si>
  <si>
    <t>| T2/26 | 5150 | 1850 | 1520 | 122,6 | 123,3 | 121,6 |</t>
  </si>
  <si>
    <t>| T3/26 | 5400 | 1950 | 1610 | 128,6 | 130,0 | 128,8 |</t>
  </si>
  <si>
    <t>| T4/26 | 5800 | 2050 | 1700 | 138,1 | 136,7 | 136,0 |</t>
  </si>
  <si>
    <t>- Índice = valor do trimestre ÷ valor do T1/25 × 100 (já calculado; recalcule a partir dos valores brutos para conferir).</t>
  </si>
  <si>
    <t>- Três linhas com marcadores pequenos: Receita (índice) em #EF4517 2,75 px; Despesas (índice) em cinza #8C8C8C 2 px; Clientes (índice) em laranja claro #F9B4A2 2 px.</t>
  </si>
  <si>
    <t>- Linha horizontal de referência fina #BFBFBF em 100.</t>
  </si>
  <si>
    <t>- Eixo Y de 90 a 145 (passo 10) com título "Índice (T1/25 = 100)"; eixo X com os trimestres; grade horizontal fina.</t>
  </si>
  <si>
    <t>- Rótulo no último ponto de cada linha com o nome curto e o índice (ex.: "Receita 138,1"), na cor da linha. Legenda embaixo.</t>
  </si>
  <si>
    <t>(a) Python: um único script executável (matplotlib + numpy, sem outras dependências), com os dados declarados no próprio script, que aplica todas as especificações acima e salva o gráfico em "indexadas.png" (dpi 200, fundo branco). Ao final, chame plt.close().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</si>
</sst>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#,##0.0"/>
    <numFmt numFmtId="167" formatCode="0%"/>
  </numFmts>
  <fonts count="20">
    <font>
      <sz val="11"/>
      <color theme="1"/>
      <name val="Calibri"/>
      <family val="2"/>
      <scheme val="minor"/>
    </font>
    <font>
      <sz val="10"/>
      <color rgb="FF1A1A1A"/>
      <name val="Calibri"/>
      <family val="2"/>
      <scheme val="minor"/>
    </font>
    <font>
      <b/>
      <sz val="24"/>
      <color rgb="FF1A1A1A"/>
      <name val="Calibri"/>
      <family val="2"/>
      <scheme val="minor"/>
    </font>
    <font>
      <sz val="12"/>
      <color rgb="FF595959"/>
      <name val="Calibri"/>
      <family val="2"/>
      <scheme val="minor"/>
    </font>
    <font>
      <i/>
      <sz val="10"/>
      <color rgb="FFEF4517"/>
      <name val="Calibri"/>
      <family val="2"/>
      <scheme val="minor"/>
    </font>
    <font>
      <b/>
      <sz val="14"/>
      <color rgb="FFEF4517"/>
      <name val="Calibri"/>
      <family val="2"/>
      <scheme val="minor"/>
    </font>
    <font>
      <b/>
      <sz val="10"/>
      <color rgb="FFEF4517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0"/>
      <color rgb="FF1A1A1A"/>
      <name val="Calibri"/>
      <family val="2"/>
      <scheme val="minor"/>
    </font>
    <font>
      <u/>
      <sz val="10"/>
      <color rgb="FFEF4517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8C8C8C"/>
      <name val="Calibri"/>
      <family val="2"/>
      <scheme val="minor"/>
    </font>
    <font>
      <b/>
      <sz val="18"/>
      <color rgb="FF1A1A1A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9"/>
      <color rgb="FFEF4517"/>
      <name val="Calibri"/>
      <family val="2"/>
      <scheme val="minor"/>
    </font>
    <font>
      <b/>
      <sz val="11"/>
      <color rgb="FFEF4517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A1A1A"/>
      <name val="Calibri"/>
      <family val="2"/>
      <scheme val="minor"/>
    </font>
    <font>
      <sz val="8"/>
      <color rgb="FF1A1A1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45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CDAD1"/>
        <bgColor indexed="64"/>
      </patternFill>
    </fill>
    <fill>
      <patternFill patternType="solid">
        <fgColor rgb="FFF9B4A2"/>
        <bgColor indexed="64"/>
      </patternFill>
    </fill>
    <fill>
      <patternFill patternType="solid">
        <fgColor rgb="FFF47D5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EF4517"/>
      </bottom>
      <diagonal/>
    </border>
    <border>
      <left/>
      <right/>
      <top/>
      <bottom style="thin">
        <color rgb="FFE6E6E6"/>
      </bottom>
      <diagonal/>
    </border>
    <border>
      <left style="thin">
        <color rgb="FFEF4517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1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1" fillId="4" borderId="3" xfId="0" applyFont="1" applyFill="1" applyBorder="1" applyAlignment="1">
      <alignment vertical="top" wrapText="1"/>
    </xf>
    <xf numFmtId="164" fontId="10" fillId="5" borderId="2" xfId="0" applyNumberFormat="1" applyFont="1" applyFill="1" applyBorder="1" applyAlignment="1">
      <alignment vertical="center"/>
    </xf>
    <xf numFmtId="165" fontId="10" fillId="5" borderId="2" xfId="0" applyNumberFormat="1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167" fontId="1" fillId="0" borderId="2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166" fontId="10" fillId="5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Receita líquida por regional ·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Receita líquida</c:v>
          </c:tx>
          <c:spPr>
            <a:solidFill>
              <a:srgbClr val="EF4517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'01 Colunas'!$B$9:$B$13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'01 Colunas'!$C$9:$C$13</c:f>
              <c:numCache>
                <c:formatCode>General</c:formatCode>
                <c:ptCount val="5"/>
                <c:pt idx="0">
                  <c:v>4200</c:v>
                </c:pt>
                <c:pt idx="1">
                  <c:v>5850</c:v>
                </c:pt>
                <c:pt idx="2">
                  <c:v>3900</c:v>
                </c:pt>
                <c:pt idx="3">
                  <c:v>9700</c:v>
                </c:pt>
                <c:pt idx="4">
                  <c:v>6400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Despesas operacionais por natureza · 2026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</c:v>
          </c:tx>
          <c:spPr>
            <a:ln>
              <a:noFill/>
            </a:ln>
          </c:spPr>
          <c:dPt>
            <c:idx val="0"/>
            <c:spPr>
              <a:solidFill>
                <a:srgbClr val="EF4517"/>
              </a:solidFill>
            </c:spPr>
          </c:dPt>
          <c:dPt>
            <c:idx val="1"/>
            <c:spPr>
              <a:solidFill>
                <a:srgbClr val="BFBFBF"/>
              </a:solidFill>
            </c:spPr>
          </c:dPt>
          <c:dPt>
            <c:idx val="2"/>
            <c:spPr>
              <a:solidFill>
                <a:srgbClr val="BFBFBF"/>
              </a:solidFill>
            </c:spPr>
          </c:dPt>
          <c:dPt>
            <c:idx val="3"/>
            <c:spPr>
              <a:solidFill>
                <a:srgbClr val="BFBFBF"/>
              </a:solidFill>
            </c:spPr>
          </c:dPt>
          <c:dPt>
            <c:idx val="4"/>
            <c:spPr>
              <a:solidFill>
                <a:srgbClr val="BFBFBF"/>
              </a:solidFill>
            </c:spPr>
          </c:dPt>
          <c:dPt>
            <c:idx val="5"/>
            <c:spPr>
              <a:solidFill>
                <a:srgbClr val="BFBFBF"/>
              </a:solidFill>
            </c:spPr>
          </c:dPt>
          <c:dPt>
            <c:idx val="6"/>
            <c:spPr>
              <a:solidFill>
                <a:srgbClr val="BFBFBF"/>
              </a:solidFill>
            </c:spPr>
          </c:dPt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'02 Barras horizontais'!$B$9:$B$15</c:f>
              <c:strCache>
                <c:ptCount val="7"/>
                <c:pt idx="0">
                  <c:v>Pessoal e encargos</c:v>
                </c:pt>
                <c:pt idx="1">
                  <c:v>Tecnologia e software</c:v>
                </c:pt>
                <c:pt idx="2">
                  <c:v>Marketing e mídia</c:v>
                </c:pt>
                <c:pt idx="3">
                  <c:v>Aluguel e facilities</c:v>
                </c:pt>
                <c:pt idx="4">
                  <c:v>Serviços de terceiros</c:v>
                </c:pt>
                <c:pt idx="5">
                  <c:v>Viagens e deslocamentos</c:v>
                </c:pt>
                <c:pt idx="6">
                  <c:v>Outras despesas</c:v>
                </c:pt>
              </c:strCache>
            </c:strRef>
          </c:cat>
          <c:val>
            <c:numRef>
              <c:f>'02 Barras horizontais'!$C$9:$C$15</c:f>
              <c:numCache>
                <c:formatCode>General</c:formatCode>
                <c:ptCount val="7"/>
                <c:pt idx="0">
                  <c:v>3150</c:v>
                </c:pt>
                <c:pt idx="1">
                  <c:v>1240</c:v>
                </c:pt>
                <c:pt idx="2">
                  <c:v>980</c:v>
                </c:pt>
                <c:pt idx="3">
                  <c:v>760</c:v>
                </c:pt>
                <c:pt idx="4">
                  <c:v>640</c:v>
                </c:pt>
                <c:pt idx="5">
                  <c:v>310</c:v>
                </c:pt>
                <c:pt idx="6">
                  <c:v>220</c:v>
                </c:pt>
              </c:numCache>
            </c:numRef>
          </c:val>
        </c:ser>
        <c:gapWidth val="50"/>
        <c:axId val="50020001"/>
        <c:axId val="50020002"/>
      </c:barChart>
      <c:catAx>
        <c:axId val="50020001"/>
        <c:scaling>
          <c:orientation val="maxMin"/>
        </c:scaling>
        <c:axPos val="l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t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max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EBITDA orçado vs. realizado por trimestre ·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'03 Colunas agrupadas'!$C$8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595959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'03 Colunas agrupadas'!$B$9:$B$12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'03 Colunas agrupadas'!$C$9:$C$12</c:f>
              <c:numCache>
                <c:formatCode>General</c:formatCode>
                <c:ptCount val="4"/>
                <c:pt idx="0">
                  <c:v>1800</c:v>
                </c:pt>
                <c:pt idx="1">
                  <c:v>2000</c:v>
                </c:pt>
                <c:pt idx="2">
                  <c:v>2150</c:v>
                </c:pt>
                <c:pt idx="3">
                  <c:v>2400</c:v>
                </c:pt>
              </c:numCache>
            </c:numRef>
          </c:val>
        </c:ser>
        <c:ser>
          <c:idx val="1"/>
          <c:order val="1"/>
          <c:tx>
            <c:strRef>
              <c:f>'03 Colunas agrupadas'!$D$8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EF4517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595959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'03 Colunas agrupadas'!$B$9:$B$12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'03 Colunas agrupadas'!$D$9:$D$12</c:f>
              <c:numCache>
                <c:formatCode>General</c:formatCode>
                <c:ptCount val="4"/>
                <c:pt idx="0">
                  <c:v>1720</c:v>
                </c:pt>
                <c:pt idx="1">
                  <c:v>2090</c:v>
                </c:pt>
                <c:pt idx="2">
                  <c:v>1980</c:v>
                </c:pt>
                <c:pt idx="3">
                  <c:v>2510</c:v>
                </c:pt>
              </c:numCache>
            </c:numRef>
          </c:val>
        </c:ser>
        <c:gapWidth val="70"/>
        <c:overlap val="-5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Receita por canal e trimestre · 2026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'04 Colunas empilhadas'!$C$8</c:f>
              <c:strCache>
                <c:ptCount val="1"/>
                <c:pt idx="0">
                  <c:v>Loja</c:v>
                </c:pt>
              </c:strCache>
            </c:strRef>
          </c:tx>
          <c:spPr>
            <a:solidFill>
              <a:srgbClr val="EF4517"/>
            </a:solidFill>
            <a:ln w="9525">
              <a:solidFill>
                <a:srgbClr val="FFFFFF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'04 Colunas empilhadas'!$B$9:$B$12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'04 Colunas empilhadas'!$C$9:$C$12</c:f>
              <c:numCache>
                <c:formatCode>General</c:formatCode>
                <c:ptCount val="4"/>
                <c:pt idx="0">
                  <c:v>2100</c:v>
                </c:pt>
                <c:pt idx="1">
                  <c:v>2050</c:v>
                </c:pt>
                <c:pt idx="2">
                  <c:v>2200</c:v>
                </c:pt>
                <c:pt idx="3">
                  <c:v>2600</c:v>
                </c:pt>
              </c:numCache>
            </c:numRef>
          </c:val>
        </c:ser>
        <c:ser>
          <c:idx val="1"/>
          <c:order val="1"/>
          <c:tx>
            <c:strRef>
              <c:f>'04 Colunas empilhadas'!$D$8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F47D5D"/>
            </a:solidFill>
            <a:ln w="9525">
              <a:solidFill>
                <a:srgbClr val="FFFFFF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'04 Colunas empilhadas'!$B$9:$B$12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'04 Colunas empilhadas'!$D$9:$D$12</c:f>
              <c:numCache>
                <c:formatCode>General</c:formatCode>
                <c:ptCount val="4"/>
                <c:pt idx="0">
                  <c:v>1200</c:v>
                </c:pt>
                <c:pt idx="1">
                  <c:v>1450</c:v>
                </c:pt>
                <c:pt idx="2">
                  <c:v>1700</c:v>
                </c:pt>
                <c:pt idx="3">
                  <c:v>2050</c:v>
                </c:pt>
              </c:numCache>
            </c:numRef>
          </c:val>
        </c:ser>
        <c:ser>
          <c:idx val="2"/>
          <c:order val="2"/>
          <c:tx>
            <c:strRef>
              <c:f>'04 Colunas empilhadas'!$E$8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F9B4A2"/>
            </a:solidFill>
            <a:ln w="9525">
              <a:solidFill>
                <a:srgbClr val="FFFFFF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'04 Colunas empilhadas'!$B$9:$B$12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'04 Colunas empilhadas'!$E$9:$E$12</c:f>
              <c:numCache>
                <c:formatCode>General</c:formatCode>
                <c:ptCount val="4"/>
                <c:pt idx="0">
                  <c:v>900</c:v>
                </c:pt>
                <c:pt idx="1">
                  <c:v>950</c:v>
                </c:pt>
                <c:pt idx="2">
                  <c:v>1000</c:v>
                </c:pt>
                <c:pt idx="3">
                  <c:v>1150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Mix de receita por canal · 2023–2026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'05 Empilhadas 100%'!$C$8</c:f>
              <c:strCache>
                <c:ptCount val="1"/>
                <c:pt idx="0">
                  <c:v>Loja</c:v>
                </c:pt>
              </c:strCache>
            </c:strRef>
          </c:tx>
          <c:spPr>
            <a:solidFill>
              <a:srgbClr val="EF4517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'05 Empilhadas 100%'!$G$9</c:f>
                  <c:strCache>
                    <c:ptCount val="1"/>
                    <c:pt idx="0">
                      <c:v>0.58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'05 Empilhadas 100%'!$G$10</c:f>
                  <c:strCache>
                    <c:ptCount val="1"/>
                    <c:pt idx="0">
                      <c:v>0.52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'05 Empilhadas 100%'!$G$11</c:f>
                  <c:strCache>
                    <c:ptCount val="1"/>
                    <c:pt idx="0">
                      <c:v>0.47</c:v>
                    </c:pt>
                  </c:strCache>
                </c:strRef>
              </c:tx>
              <c:dLblPos val="ctr"/>
              <c:showVal val="1"/>
            </c:dLbl>
            <c:dLbl>
              <c:idx val="3"/>
              <c:layout/>
              <c:tx>
                <c:strRef>
                  <c:f>'05 Empilhadas 100%'!$G$12</c:f>
                  <c:strCache>
                    <c:ptCount val="1"/>
                    <c:pt idx="0">
                      <c:v>0.41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numRef>
              <c:f>'05 Empilhadas 100%'!$B$9:$B$12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'05 Empilhadas 100%'!$C$9:$C$12</c:f>
              <c:numCache>
                <c:formatCode>General</c:formatCode>
                <c:ptCount val="4"/>
                <c:pt idx="0">
                  <c:v>6960</c:v>
                </c:pt>
                <c:pt idx="1">
                  <c:v>6760</c:v>
                </c:pt>
                <c:pt idx="2">
                  <c:v>6580</c:v>
                </c:pt>
                <c:pt idx="3">
                  <c:v>6150</c:v>
                </c:pt>
              </c:numCache>
            </c:numRef>
          </c:val>
        </c:ser>
        <c:ser>
          <c:idx val="1"/>
          <c:order val="1"/>
          <c:tx>
            <c:strRef>
              <c:f>'05 Empilhadas 100%'!$D$8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F47D5D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'05 Empilhadas 100%'!$H$9</c:f>
                  <c:strCache>
                    <c:ptCount val="1"/>
                    <c:pt idx="0">
                      <c:v>0.22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'05 Empilhadas 100%'!$H$10</c:f>
                  <c:strCache>
                    <c:ptCount val="1"/>
                    <c:pt idx="0">
                      <c:v>0.28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'05 Empilhadas 100%'!$H$11</c:f>
                  <c:strCache>
                    <c:ptCount val="1"/>
                    <c:pt idx="0">
                      <c:v>0.33</c:v>
                    </c:pt>
                  </c:strCache>
                </c:strRef>
              </c:tx>
              <c:dLblPos val="ctr"/>
              <c:showVal val="1"/>
            </c:dLbl>
            <c:dLbl>
              <c:idx val="3"/>
              <c:layout/>
              <c:tx>
                <c:strRef>
                  <c:f>'05 Empilhadas 100%'!$H$12</c:f>
                  <c:strCache>
                    <c:ptCount val="1"/>
                    <c:pt idx="0">
                      <c:v>0.38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numRef>
              <c:f>'05 Empilhadas 100%'!$B$9:$B$12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'05 Empilhadas 100%'!$D$9:$D$12</c:f>
              <c:numCache>
                <c:formatCode>General</c:formatCode>
                <c:ptCount val="4"/>
                <c:pt idx="0">
                  <c:v>2640</c:v>
                </c:pt>
                <c:pt idx="1">
                  <c:v>3640</c:v>
                </c:pt>
                <c:pt idx="2">
                  <c:v>4620</c:v>
                </c:pt>
                <c:pt idx="3">
                  <c:v>5700</c:v>
                </c:pt>
              </c:numCache>
            </c:numRef>
          </c:val>
        </c:ser>
        <c:ser>
          <c:idx val="2"/>
          <c:order val="2"/>
          <c:tx>
            <c:strRef>
              <c:f>'05 Empilhadas 100%'!$E$8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F9B4A2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'05 Empilhadas 100%'!$I$9</c:f>
                  <c:strCache>
                    <c:ptCount val="1"/>
                    <c:pt idx="0">
                      <c:v>0.2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'05 Empilhadas 100%'!$I$10</c:f>
                  <c:strCache>
                    <c:ptCount val="1"/>
                    <c:pt idx="0">
                      <c:v>0.2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'05 Empilhadas 100%'!$I$11</c:f>
                  <c:strCache>
                    <c:ptCount val="1"/>
                    <c:pt idx="0">
                      <c:v>0.2</c:v>
                    </c:pt>
                  </c:strCache>
                </c:strRef>
              </c:tx>
              <c:dLblPos val="ctr"/>
              <c:showVal val="1"/>
            </c:dLbl>
            <c:dLbl>
              <c:idx val="3"/>
              <c:layout/>
              <c:tx>
                <c:strRef>
                  <c:f>'05 Empilhadas 100%'!$I$12</c:f>
                  <c:strCache>
                    <c:ptCount val="1"/>
                    <c:pt idx="0">
                      <c:v>0.21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numRef>
              <c:f>'05 Empilhadas 100%'!$B$9:$B$12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'05 Empilhadas 100%'!$E$9:$E$12</c:f>
              <c:numCache>
                <c:formatCode>General</c:formatCode>
                <c:ptCount val="4"/>
                <c:pt idx="0">
                  <c:v>2400</c:v>
                </c:pt>
                <c:pt idx="1">
                  <c:v>2600</c:v>
                </c:pt>
                <c:pt idx="2">
                  <c:v>2800</c:v>
                </c:pt>
                <c:pt idx="3">
                  <c:v>3150</c:v>
                </c:pt>
              </c:numCache>
            </c:numRef>
          </c:val>
        </c:ser>
        <c:gapWidth val="60"/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Saldo de caixa no fim do mês · 2026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'06 Linhas'!$C$8</c:f>
              <c:strCache>
                <c:ptCount val="1"/>
                <c:pt idx="0">
                  <c:v>Saldo de caixa</c:v>
                </c:pt>
              </c:strCache>
            </c:strRef>
          </c:tx>
          <c:spPr>
            <a:ln w="31750">
              <a:solidFill>
                <a:srgbClr val="EF4517"/>
              </a:solidFill>
            </a:ln>
          </c:spPr>
          <c:marker>
            <c:symbol val="circle"/>
            <c:size val="5"/>
            <c:spPr>
              <a:solidFill>
                <a:srgbClr val="EF4517"/>
              </a:solidFill>
              <a:ln>
                <a:solidFill>
                  <a:srgbClr val="EF4517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5959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'06 Linhas'!$B$9:$B$20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'06 Linhas'!$C$9:$C$20</c:f>
              <c:numCache>
                <c:formatCode>General</c:formatCode>
                <c:ptCount val="12"/>
                <c:pt idx="0">
                  <c:v>3200</c:v>
                </c:pt>
                <c:pt idx="1">
                  <c:v>2950</c:v>
                </c:pt>
                <c:pt idx="2">
                  <c:v>2700</c:v>
                </c:pt>
                <c:pt idx="3">
                  <c:v>2850</c:v>
                </c:pt>
                <c:pt idx="4">
                  <c:v>3100</c:v>
                </c:pt>
                <c:pt idx="5">
                  <c:v>2600</c:v>
                </c:pt>
                <c:pt idx="6">
                  <c:v>2400</c:v>
                </c:pt>
                <c:pt idx="7">
                  <c:v>2750</c:v>
                </c:pt>
                <c:pt idx="8">
                  <c:v>3050</c:v>
                </c:pt>
                <c:pt idx="9">
                  <c:v>3400</c:v>
                </c:pt>
                <c:pt idx="10">
                  <c:v>3300</c:v>
                </c:pt>
                <c:pt idx="11">
                  <c:v>3900</c:v>
                </c:pt>
              </c:numCache>
            </c:numRef>
          </c:val>
        </c:ser>
        <c:ser>
          <c:idx val="1"/>
          <c:order val="1"/>
          <c:tx>
            <c:strRef>
              <c:f>'06 Linhas'!$D$8</c:f>
              <c:strCache>
                <c:ptCount val="1"/>
                <c:pt idx="0">
                  <c:v>Caixa mínimo</c:v>
                </c:pt>
              </c:strCache>
            </c:strRef>
          </c:tx>
          <c:spPr>
            <a:ln w="15875">
              <a:solidFill>
                <a:srgbClr val="8C8C8C"/>
              </a:solidFill>
              <a:prstDash val="dash"/>
            </a:ln>
          </c:spPr>
          <c:marker>
            <c:symbol val="none"/>
          </c:marker>
          <c:cat>
            <c:strRef>
              <c:f>'06 Linhas'!$B$9:$B$20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'06 Linhas'!$D$9:$D$20</c:f>
              <c:numCache>
                <c:formatCode>General</c:formatCode>
                <c:ptCount val="12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Receita recorrente mensal (MRR) · 2026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MRR</c:v>
          </c:tx>
          <c:spPr>
            <a:solidFill>
              <a:srgbClr val="EF4517">
                <a:alpha val="25000"/>
              </a:srgbClr>
            </a:solidFill>
            <a:ln w="28575">
              <a:solidFill>
                <a:srgbClr val="EF4517"/>
              </a:solidFill>
            </a:ln>
          </c:spPr>
          <c:cat>
            <c:strRef>
              <c:f>'07 Área'!$B$9:$B$20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'07 Área'!$C$9:$C$20</c:f>
              <c:numCache>
                <c:formatCode>General</c:formatCode>
                <c:ptCount val="12"/>
                <c:pt idx="0">
                  <c:v>820</c:v>
                </c:pt>
                <c:pt idx="1">
                  <c:v>845</c:v>
                </c:pt>
                <c:pt idx="2">
                  <c:v>870</c:v>
                </c:pt>
                <c:pt idx="3">
                  <c:v>910</c:v>
                </c:pt>
                <c:pt idx="4">
                  <c:v>935</c:v>
                </c:pt>
                <c:pt idx="5">
                  <c:v>960</c:v>
                </c:pt>
                <c:pt idx="6">
                  <c:v>1010</c:v>
                </c:pt>
                <c:pt idx="7">
                  <c:v>1050</c:v>
                </c:pt>
                <c:pt idx="8">
                  <c:v>1080</c:v>
                </c:pt>
                <c:pt idx="9">
                  <c:v>1130</c:v>
                </c:pt>
                <c:pt idx="10">
                  <c:v>1170</c:v>
                </c:pt>
                <c:pt idx="11">
                  <c:v>1230</c:v>
                </c:pt>
              </c:numCache>
            </c:numRef>
          </c:val>
        </c:ser>
        <c:axId val="50070001"/>
        <c:axId val="50070002"/>
      </c:areaChart>
      <c:catAx>
        <c:axId val="5007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Receita anual por canal · 2026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'08 Pizza'!$C$8</c:f>
              <c:strCache>
                <c:ptCount val="1"/>
                <c:pt idx="0">
                  <c:v>Receita</c:v>
                </c:pt>
              </c:strCache>
            </c:strRef>
          </c:tx>
          <c:dPt>
            <c:idx val="0"/>
            <c:spPr>
              <a:solidFill>
                <a:srgbClr val="EF451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9B4A2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>
                  <a:defRPr sz="1000" b="1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Percent val="1"/>
          </c:dLbls>
          <c:cat>
            <c:strRef>
              <c:f>'08 Pizza'!$B$9:$B$11</c:f>
              <c:strCache>
                <c:ptCount val="3"/>
                <c:pt idx="0">
                  <c:v>Loja</c:v>
                </c:pt>
                <c:pt idx="1">
                  <c:v>Online</c:v>
                </c:pt>
                <c:pt idx="2">
                  <c:v>B2B</c:v>
                </c:pt>
              </c:strCache>
            </c:strRef>
          </c:cat>
          <c:val>
            <c:numRef>
              <c:f>'08 Pizza'!$C$9:$C$11</c:f>
              <c:numCache>
                <c:formatCode>General</c:formatCode>
                <c:ptCount val="3"/>
                <c:pt idx="0">
                  <c:v>6150</c:v>
                </c:pt>
                <c:pt idx="1">
                  <c:v>5700</c:v>
                </c:pt>
                <c:pt idx="2">
                  <c:v>3150</c:v>
                </c:pt>
              </c:numCache>
            </c:numRef>
          </c:val>
        </c:ser>
        <c:firstSliceAng val="0"/>
      </c:pie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Composição do custo dos produtos vendidos · 2026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'09 Rosca'!$C$8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spPr>
              <a:solidFill>
                <a:srgbClr val="EF451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47D5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9B4A2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C8C8C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>
                  <a:defRPr sz="1000" b="1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Percent val="1"/>
          </c:dLbls>
          <c:cat>
            <c:strRef>
              <c:f>'09 Rosca'!$B$9:$B$13</c:f>
              <c:strCache>
                <c:ptCount val="5"/>
                <c:pt idx="0">
                  <c:v>Matéria-prima</c:v>
                </c:pt>
                <c:pt idx="1">
                  <c:v>Mão de obra direta</c:v>
                </c:pt>
                <c:pt idx="2">
                  <c:v>Frete</c:v>
                </c:pt>
                <c:pt idx="3">
                  <c:v>Embalagem</c:v>
                </c:pt>
                <c:pt idx="4">
                  <c:v>Outros</c:v>
                </c:pt>
              </c:strCache>
            </c:strRef>
          </c:cat>
          <c:val>
            <c:numRef>
              <c:f>'09 Rosca'!$C$9:$C$13</c:f>
              <c:numCache>
                <c:formatCode>General</c:formatCode>
                <c:ptCount val="5"/>
                <c:pt idx="0">
                  <c:v>4300</c:v>
                </c:pt>
                <c:pt idx="1">
                  <c:v>2100</c:v>
                </c:pt>
                <c:pt idx="2">
                  <c:v>950</c:v>
                </c:pt>
                <c:pt idx="3">
                  <c:v>620</c:v>
                </c:pt>
                <c:pt idx="4">
                  <c:v>430</c:v>
                </c:pt>
              </c:numCache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Investimento em marketing vs. receita nova · 2026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Meses de 2026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EF4517"/>
              </a:solidFill>
              <a:ln w="9525">
                <a:solidFill>
                  <a:srgbClr val="FFFFFF"/>
                </a:solidFill>
              </a:ln>
            </c:spPr>
          </c:marker>
          <c:trendline>
            <c:name>Tendência linear</c:name>
            <c:spPr>
              <a:ln w="15875">
                <a:solidFill>
                  <a:srgbClr val="8C8C8C"/>
                </a:solidFill>
                <a:prstDash val="dash"/>
              </a:ln>
            </c:spPr>
            <c:trendlineType val="linear"/>
          </c:trendline>
          <c:xVal>
            <c:numRef>
              <c:f>'10 Dispersão'!$C$9:$C$20</c:f>
              <c:numCache>
                <c:formatCode>General</c:formatCode>
                <c:ptCount val="12"/>
                <c:pt idx="0">
                  <c:v>80</c:v>
                </c:pt>
                <c:pt idx="1">
                  <c:v>95</c:v>
                </c:pt>
                <c:pt idx="2">
                  <c:v>110</c:v>
                </c:pt>
                <c:pt idx="3">
                  <c:v>105</c:v>
                </c:pt>
                <c:pt idx="4">
                  <c:v>130</c:v>
                </c:pt>
                <c:pt idx="5">
                  <c:v>150</c:v>
                </c:pt>
                <c:pt idx="6">
                  <c:v>140</c:v>
                </c:pt>
                <c:pt idx="7">
                  <c:v>165</c:v>
                </c:pt>
                <c:pt idx="8">
                  <c:v>180</c:v>
                </c:pt>
                <c:pt idx="9">
                  <c:v>175</c:v>
                </c:pt>
                <c:pt idx="10">
                  <c:v>200</c:v>
                </c:pt>
                <c:pt idx="11">
                  <c:v>220</c:v>
                </c:pt>
              </c:numCache>
            </c:numRef>
          </c:xVal>
          <c:yVal>
            <c:numRef>
              <c:f>'10 Dispersão'!$D$9:$D$20</c:f>
              <c:numCache>
                <c:formatCode>General</c:formatCode>
                <c:ptCount val="12"/>
                <c:pt idx="0">
                  <c:v>410</c:v>
                </c:pt>
                <c:pt idx="1">
                  <c:v>450</c:v>
                </c:pt>
                <c:pt idx="2">
                  <c:v>520</c:v>
                </c:pt>
                <c:pt idx="3">
                  <c:v>480</c:v>
                </c:pt>
                <c:pt idx="4">
                  <c:v>590</c:v>
                </c:pt>
                <c:pt idx="5">
                  <c:v>640</c:v>
                </c:pt>
                <c:pt idx="6">
                  <c:v>600</c:v>
                </c:pt>
                <c:pt idx="7">
                  <c:v>700</c:v>
                </c:pt>
                <c:pt idx="8">
                  <c:v>760</c:v>
                </c:pt>
                <c:pt idx="9">
                  <c:v>720</c:v>
                </c:pt>
                <c:pt idx="10">
                  <c:v>820</c:v>
                </c:pt>
                <c:pt idx="11">
                  <c:v>880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  <c:max val="240"/>
          <c:min val="60"/>
        </c:scaling>
        <c:axPos val="b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Investimento em marketing (R$ mil)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crossBetween val="midCat"/>
      </c:valAx>
      <c:valAx>
        <c:axId val="50100002"/>
        <c:scaling>
          <c:orientation val="minMax"/>
          <c:max val="950"/>
          <c:min val="30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Receita nova (R$ mil)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Unidades de negócio: receita, margem e equipe · 2026</a:t>
            </a:r>
          </a:p>
        </c:rich>
      </c:tx>
      <c:layout/>
    </c:title>
    <c:plotArea>
      <c:layout/>
      <c:bubbleChart>
        <c:varyColors val="0"/>
        <c:ser>
          <c:idx val="0"/>
          <c:order val="0"/>
          <c:tx>
            <c:v>Unidades</c:v>
          </c:tx>
          <c:spPr>
            <a:solidFill>
              <a:srgbClr val="EF4517">
                <a:alpha val="65000"/>
              </a:srgbClr>
            </a:solidFill>
            <a:ln w="12700">
              <a:solidFill>
                <a:srgbClr val="EF4517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Varejo</a:t>
                    </a:r>
                  </a:p>
                </c:rich>
              </c:tx>
              <c:dLblPos val="ctr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Atacado</a:t>
                    </a:r>
                  </a:p>
                </c:rich>
              </c:tx>
              <c:dLblPos val="ct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E-commerce</a:t>
                    </a:r>
                  </a:p>
                </c:rich>
              </c:tx>
              <c:dLblPos val="ctr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Serviços</a:t>
                    </a:r>
                  </a:p>
                </c:rich>
              </c:tx>
              <c:dLblPos val="ctr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Franquias</a:t>
                    </a:r>
                  </a:p>
                </c:rich>
              </c:tx>
              <c:dLblPos val="ctr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Exportação</a:t>
                    </a:r>
                  </a:p>
                </c:rich>
              </c:tx>
              <c:dLblPos val="ctr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xVal>
            <c:numRef>
              <c:f>'11 Bolhas'!$C$9:$C$14</c:f>
              <c:numCache>
                <c:formatCode>General</c:formatCode>
                <c:ptCount val="6"/>
                <c:pt idx="0">
                  <c:v>9800</c:v>
                </c:pt>
                <c:pt idx="1">
                  <c:v>6200</c:v>
                </c:pt>
                <c:pt idx="2">
                  <c:v>5100</c:v>
                </c:pt>
                <c:pt idx="3">
                  <c:v>2400</c:v>
                </c:pt>
                <c:pt idx="4">
                  <c:v>1800</c:v>
                </c:pt>
                <c:pt idx="5">
                  <c:v>3300</c:v>
                </c:pt>
              </c:numCache>
            </c:numRef>
          </c:xVal>
          <c:yVal>
            <c:numRef>
              <c:f>'11 Bolhas'!$D$9:$D$14</c:f>
              <c:numCache>
                <c:formatCode>General</c:formatCode>
                <c:ptCount val="6"/>
                <c:pt idx="0">
                  <c:v>0.14</c:v>
                </c:pt>
                <c:pt idx="1">
                  <c:v>0.09</c:v>
                </c:pt>
                <c:pt idx="2">
                  <c:v>0.18</c:v>
                </c:pt>
                <c:pt idx="3">
                  <c:v>0.26</c:v>
                </c:pt>
                <c:pt idx="4">
                  <c:v>0.31</c:v>
                </c:pt>
                <c:pt idx="5">
                  <c:v>0.12</c:v>
                </c:pt>
              </c:numCache>
            </c:numRef>
          </c:yVal>
          <c:bubbleSize>
            <c:numRef>
              <c:f>'11 Bolhas'!$E$9:$E$14</c:f>
              <c:numCache>
                <c:formatCode>General</c:formatCode>
                <c:ptCount val="6"/>
                <c:pt idx="0">
                  <c:v>420</c:v>
                </c:pt>
                <c:pt idx="1">
                  <c:v>160</c:v>
                </c:pt>
                <c:pt idx="2">
                  <c:v>95</c:v>
                </c:pt>
                <c:pt idx="3">
                  <c:v>110</c:v>
                </c:pt>
                <c:pt idx="4">
                  <c:v>25</c:v>
                </c:pt>
                <c:pt idx="5">
                  <c:v>60</c:v>
                </c:pt>
              </c:numCache>
            </c:numRef>
          </c:bubbleSize>
          <c:bubble3D val="0"/>
        </c:ser>
        <c:bubbleScale val="100"/>
        <c:showNegBubbles val="0"/>
        <c:axId val="50110001"/>
        <c:axId val="50110002"/>
      </c:bubbleChart>
      <c:valAx>
        <c:axId val="50110001"/>
        <c:scaling>
          <c:orientation val="minMax"/>
          <c:max val="12000"/>
          <c:min val="0"/>
        </c:scaling>
        <c:axPos val="b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Receita (R$ mil)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crossBetween val="midCat"/>
        <c:majorUnit val="2000"/>
      </c:valAx>
      <c:valAx>
        <c:axId val="50110002"/>
        <c:scaling>
          <c:orientation val="minMax"/>
          <c:max val="0.4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Margem EBITDA</a:t>
                </a:r>
              </a:p>
            </c:rich>
          </c:tx>
          <c:layout/>
        </c:title>
        <c:numFmt formatCode="0%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0.1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Maturidade da área financeira (0 a 5)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'12 Radar'!$D$8</c:f>
              <c:strCache>
                <c:ptCount val="1"/>
                <c:pt idx="0">
                  <c:v>Meta 2027</c:v>
                </c:pt>
              </c:strCache>
            </c:strRef>
          </c:tx>
          <c:spPr>
            <a:ln w="15875">
              <a:solidFill>
                <a:srgbClr val="8C8C8C"/>
              </a:solidFill>
              <a:prstDash val="dash"/>
            </a:ln>
          </c:spPr>
          <c:marker>
            <c:symbol val="none"/>
          </c:marker>
          <c:cat>
            <c:strRef>
              <c:f>'12 Radar'!$B$9:$B$14</c:f>
              <c:strCache>
                <c:ptCount val="6"/>
                <c:pt idx="0">
                  <c:v>Fechamento contábil</c:v>
                </c:pt>
                <c:pt idx="1">
                  <c:v>Planejamento (FP&amp;A)</c:v>
                </c:pt>
                <c:pt idx="2">
                  <c:v>Tesouraria</c:v>
                </c:pt>
                <c:pt idx="3">
                  <c:v>Controles internos</c:v>
                </c:pt>
                <c:pt idx="4">
                  <c:v>Dados e BI</c:v>
                </c:pt>
                <c:pt idx="5">
                  <c:v>Automação</c:v>
                </c:pt>
              </c:strCache>
            </c:strRef>
          </c:cat>
          <c:val>
            <c:numRef>
              <c:f>'12 Radar'!$D$9:$D$14</c:f>
              <c:numCache>
                <c:formatCode>General</c:formatCode>
                <c:ptCount val="6"/>
                <c:pt idx="0">
                  <c:v>4.5</c:v>
                </c:pt>
                <c:pt idx="1">
                  <c:v>4</c:v>
                </c:pt>
                <c:pt idx="2">
                  <c:v>4.5</c:v>
                </c:pt>
                <c:pt idx="3">
                  <c:v>4</c:v>
                </c:pt>
                <c:pt idx="4">
                  <c:v>4</c:v>
                </c:pt>
                <c:pt idx="5">
                  <c:v>3.5</c:v>
                </c:pt>
              </c:numCache>
            </c:numRef>
          </c:val>
        </c:ser>
        <c:ser>
          <c:idx val="1"/>
          <c:order val="1"/>
          <c:tx>
            <c:strRef>
              <c:f>'12 Radar'!$C$8</c:f>
              <c:strCache>
                <c:ptCount val="1"/>
                <c:pt idx="0">
                  <c:v>Atual</c:v>
                </c:pt>
              </c:strCache>
            </c:strRef>
          </c:tx>
          <c:spPr>
            <a:ln w="31750">
              <a:solidFill>
                <a:srgbClr val="EF4517"/>
              </a:solidFill>
            </a:ln>
          </c:spPr>
          <c:marker>
            <c:symbol val="circle"/>
            <c:size val="5"/>
            <c:spPr>
              <a:solidFill>
                <a:srgbClr val="EF4517"/>
              </a:solidFill>
              <a:ln>
                <a:solidFill>
                  <a:srgbClr val="EF4517"/>
                </a:solidFill>
              </a:ln>
            </c:spPr>
          </c:marker>
          <c:cat>
            <c:strRef>
              <c:f>'12 Radar'!$B$9:$B$14</c:f>
              <c:strCache>
                <c:ptCount val="6"/>
                <c:pt idx="0">
                  <c:v>Fechamento contábil</c:v>
                </c:pt>
                <c:pt idx="1">
                  <c:v>Planejamento (FP&amp;A)</c:v>
                </c:pt>
                <c:pt idx="2">
                  <c:v>Tesouraria</c:v>
                </c:pt>
                <c:pt idx="3">
                  <c:v>Controles internos</c:v>
                </c:pt>
                <c:pt idx="4">
                  <c:v>Dados e BI</c:v>
                </c:pt>
                <c:pt idx="5">
                  <c:v>Automação</c:v>
                </c:pt>
              </c:strCache>
            </c:strRef>
          </c:cat>
          <c:val>
            <c:numRef>
              <c:f>'12 Radar'!$C$9:$C$14</c:f>
              <c:numCache>
                <c:formatCode>General</c:formatCode>
                <c:ptCount val="6"/>
                <c:pt idx="0">
                  <c:v>3.5</c:v>
                </c:pt>
                <c:pt idx="1">
                  <c:v>2.5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1.5</c:v>
                </c:pt>
              </c:numCache>
            </c:numRef>
          </c:val>
        </c:ser>
        <c:axId val="50120001"/>
        <c:axId val="50120002"/>
      </c:radarChart>
      <c:catAx>
        <c:axId val="501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5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  <c:majorUnit val="1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Distribuição do prazo de recebimento das faturas ·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Nº de faturas</c:v>
          </c:tx>
          <c:spPr>
            <a:solidFill>
              <a:srgbClr val="EF4517"/>
            </a:solidFill>
            <a:ln w="12700">
              <a:solidFill>
                <a:srgbClr val="FFFFFF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'13 Histograma'!$B$9:$B$15</c:f>
              <c:strCache>
                <c:ptCount val="7"/>
                <c:pt idx="0">
                  <c:v>0–15</c:v>
                </c:pt>
                <c:pt idx="1">
                  <c:v>16–30</c:v>
                </c:pt>
                <c:pt idx="2">
                  <c:v>31–45</c:v>
                </c:pt>
                <c:pt idx="3">
                  <c:v>46–60</c:v>
                </c:pt>
                <c:pt idx="4">
                  <c:v>61–75</c:v>
                </c:pt>
                <c:pt idx="5">
                  <c:v>76–90</c:v>
                </c:pt>
                <c:pt idx="6">
                  <c:v>&gt; 90</c:v>
                </c:pt>
              </c:strCache>
            </c:strRef>
          </c:cat>
          <c:val>
            <c:numRef>
              <c:f>'13 Histograma'!$C$9:$C$15</c:f>
              <c:numCache>
                <c:formatCode>General</c:formatCode>
                <c:ptCount val="7"/>
                <c:pt idx="0">
                  <c:v>42</c:v>
                </c:pt>
                <c:pt idx="1">
                  <c:v>118</c:v>
                </c:pt>
                <c:pt idx="2">
                  <c:v>96</c:v>
                </c:pt>
                <c:pt idx="3">
                  <c:v>51</c:v>
                </c:pt>
                <c:pt idx="4">
                  <c:v>24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</c:ser>
        <c:gapWidth val="3"/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Prazo de recebimento (dias)</a:t>
                </a:r>
              </a:p>
            </c:rich>
          </c:tx>
          <c:layout/>
        </c:title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Nº de faturas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Ponte do EBITDA · 2025 → 2026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'14 Cascata'!$E$8</c:f>
              <c:strCache>
                <c:ptCount val="1"/>
                <c:pt idx="0">
                  <c:v>Base (invisível)</c:v>
                </c:pt>
              </c:strCache>
            </c:strRef>
          </c:tx>
          <c:spPr>
            <a:noFill/>
            <a:ln>
              <a:noFill/>
            </a:ln>
          </c:spPr>
          <c:cat>
            <c:strRef>
              <c:f>'14 Cascata'!$B$9:$B$16</c:f>
              <c:strCache>
                <c:ptCount val="8"/>
                <c:pt idx="0">
                  <c:v>EBITDA 2025</c:v>
                </c:pt>
                <c:pt idx="1">
                  <c:v>Volume de vendas</c:v>
                </c:pt>
                <c:pt idx="2">
                  <c:v>Preço</c:v>
                </c:pt>
                <c:pt idx="3">
                  <c:v>Mix de produtos</c:v>
                </c:pt>
                <c:pt idx="4">
                  <c:v>Custo de insumos</c:v>
                </c:pt>
                <c:pt idx="5">
                  <c:v>Despesas com pessoal</c:v>
                </c:pt>
                <c:pt idx="6">
                  <c:v>Eficiência operacional</c:v>
                </c:pt>
                <c:pt idx="7">
                  <c:v>EBITDA 2026</c:v>
                </c:pt>
              </c:strCache>
            </c:strRef>
          </c:cat>
          <c:val>
            <c:numRef>
              <c:f>'14 Cascata'!$E$9:$E$16</c:f>
              <c:numCache>
                <c:formatCode>General</c:formatCode>
                <c:ptCount val="8"/>
                <c:pt idx="0">
                  <c:v>0</c:v>
                </c:pt>
                <c:pt idx="1">
                  <c:v>7800</c:v>
                </c:pt>
                <c:pt idx="2">
                  <c:v>9250</c:v>
                </c:pt>
                <c:pt idx="3">
                  <c:v>9760</c:v>
                </c:pt>
                <c:pt idx="4">
                  <c:v>8800</c:v>
                </c:pt>
                <c:pt idx="5">
                  <c:v>8260</c:v>
                </c:pt>
                <c:pt idx="6">
                  <c:v>8260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'14 Cascata'!$H$8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F4517"/>
            </a:solidFill>
            <a:ln>
              <a:noFill/>
            </a:ln>
          </c:spPr>
          <c:dLbls>
            <c:numFmt formatCode="#,##0;-#,##0;;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'14 Cascata'!$B$9:$B$16</c:f>
              <c:strCache>
                <c:ptCount val="8"/>
                <c:pt idx="0">
                  <c:v>EBITDA 2025</c:v>
                </c:pt>
                <c:pt idx="1">
                  <c:v>Volume de vendas</c:v>
                </c:pt>
                <c:pt idx="2">
                  <c:v>Preço</c:v>
                </c:pt>
                <c:pt idx="3">
                  <c:v>Mix de produtos</c:v>
                </c:pt>
                <c:pt idx="4">
                  <c:v>Custo de insumos</c:v>
                </c:pt>
                <c:pt idx="5">
                  <c:v>Despesas com pessoal</c:v>
                </c:pt>
                <c:pt idx="6">
                  <c:v>Eficiência operacional</c:v>
                </c:pt>
                <c:pt idx="7">
                  <c:v>EBITDA 2026</c:v>
                </c:pt>
              </c:strCache>
            </c:strRef>
          </c:cat>
          <c:val>
            <c:numRef>
              <c:f>'14 Cascata'!$H$9:$H$16</c:f>
              <c:numCache>
                <c:formatCode>General</c:formatCode>
                <c:ptCount val="8"/>
                <c:pt idx="0">
                  <c:v>7800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8650</c:v>
                </c:pt>
              </c:numCache>
            </c:numRef>
          </c:val>
        </c:ser>
        <c:ser>
          <c:idx val="2"/>
          <c:order val="2"/>
          <c:tx>
            <c:strRef>
              <c:f>'14 Cascata'!$F$8</c:f>
              <c:strCache>
                <c:ptCount val="1"/>
                <c:pt idx="0">
                  <c:v>Aumento</c:v>
                </c:pt>
              </c:strCache>
            </c:strRef>
          </c:tx>
          <c:spPr>
            <a:solidFill>
              <a:srgbClr val="F9B4A2"/>
            </a:solidFill>
            <a:ln>
              <a:noFill/>
            </a:ln>
          </c:spPr>
          <c:dLbls>
            <c:numFmt formatCode="&quot;+&quot;#,##0;;;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'14 Cascata'!$B$9:$B$16</c:f>
              <c:strCache>
                <c:ptCount val="8"/>
                <c:pt idx="0">
                  <c:v>EBITDA 2025</c:v>
                </c:pt>
                <c:pt idx="1">
                  <c:v>Volume de vendas</c:v>
                </c:pt>
                <c:pt idx="2">
                  <c:v>Preço</c:v>
                </c:pt>
                <c:pt idx="3">
                  <c:v>Mix de produtos</c:v>
                </c:pt>
                <c:pt idx="4">
                  <c:v>Custo de insumos</c:v>
                </c:pt>
                <c:pt idx="5">
                  <c:v>Despesas com pessoal</c:v>
                </c:pt>
                <c:pt idx="6">
                  <c:v>Eficiência operacional</c:v>
                </c:pt>
                <c:pt idx="7">
                  <c:v>EBITDA 2026</c:v>
                </c:pt>
              </c:strCache>
            </c:strRef>
          </c:cat>
          <c:val>
            <c:numRef>
              <c:f>'14 Cascata'!$F$9:$F$16</c:f>
              <c:numCache>
                <c:formatCode>General</c:formatCode>
                <c:ptCount val="8"/>
                <c:pt idx="0">
                  <c:v>0</c:v>
                </c:pt>
                <c:pt idx="1">
                  <c:v>1450</c:v>
                </c:pt>
                <c:pt idx="2">
                  <c:v>820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390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'14 Cascata'!$G$8</c:f>
              <c:strCache>
                <c:ptCount val="1"/>
                <c:pt idx="0">
                  <c:v>Redução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</c:spPr>
          <c:dLbls>
            <c:numFmt formatCode="&quot;-&quot;#,##0;;;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'14 Cascata'!$B$9:$B$16</c:f>
              <c:strCache>
                <c:ptCount val="8"/>
                <c:pt idx="0">
                  <c:v>EBITDA 2025</c:v>
                </c:pt>
                <c:pt idx="1">
                  <c:v>Volume de vendas</c:v>
                </c:pt>
                <c:pt idx="2">
                  <c:v>Preço</c:v>
                </c:pt>
                <c:pt idx="3">
                  <c:v>Mix de produtos</c:v>
                </c:pt>
                <c:pt idx="4">
                  <c:v>Custo de insumos</c:v>
                </c:pt>
                <c:pt idx="5">
                  <c:v>Despesas com pessoal</c:v>
                </c:pt>
                <c:pt idx="6">
                  <c:v>Eficiência operacional</c:v>
                </c:pt>
                <c:pt idx="7">
                  <c:v>EBITDA 2026</c:v>
                </c:pt>
              </c:strCache>
            </c:strRef>
          </c:cat>
          <c:val>
            <c:numRef>
              <c:f>'14 Cascata'!$G$9:$G$16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310</c:v>
                </c:pt>
                <c:pt idx="4">
                  <c:v>960</c:v>
                </c:pt>
                <c:pt idx="5">
                  <c:v>540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0"/>
        <c:overlap val="100"/>
        <c:axId val="50140001"/>
        <c:axId val="50140002"/>
      </c:barChart>
      <c:catAx>
        <c:axId val="5014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between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Cronograma do fechamento mensal (dias úteis)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Base</c:v>
          </c:tx>
          <c:spPr>
            <a:noFill/>
            <a:ln>
              <a:noFill/>
            </a:ln>
          </c:spPr>
          <c:cat>
            <c:strRef>
              <c:f>'15 Gantt'!$B$9:$B$17</c:f>
              <c:strCache>
                <c:ptCount val="9"/>
                <c:pt idx="0">
                  <c:v>Corte de faturamento e vendas</c:v>
                </c:pt>
                <c:pt idx="1">
                  <c:v>Conciliações bancárias</c:v>
                </c:pt>
                <c:pt idx="2">
                  <c:v>Provisões e apropriações</c:v>
                </c:pt>
                <c:pt idx="3">
                  <c:v>Inventário e custo dos estoques</c:v>
                </c:pt>
                <c:pt idx="4">
                  <c:v>Impostos e apurações</c:v>
                </c:pt>
                <c:pt idx="5">
                  <c:v>Consolidação e eliminações</c:v>
                </c:pt>
                <c:pt idx="6">
                  <c:v>Revisão analítica (DRE/BP)</c:v>
                </c:pt>
                <c:pt idx="7">
                  <c:v>Relatório gerencial</c:v>
                </c:pt>
                <c:pt idx="8">
                  <c:v>Reunião de resultados</c:v>
                </c:pt>
              </c:strCache>
            </c:strRef>
          </c:cat>
          <c:val>
            <c:numRef>
              <c:f>'15 Gantt'!$G$9:$G$17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</c:ser>
        <c:ser>
          <c:idx val="1"/>
          <c:order val="1"/>
          <c:tx>
            <c:v>Duração (dias)</c:v>
          </c:tx>
          <c:spPr>
            <a:solidFill>
              <a:srgbClr val="EF4517"/>
            </a:solidFill>
            <a:ln>
              <a:noFill/>
            </a:ln>
          </c:spPr>
          <c:dLbls>
            <c:numFmt formatCode="0&quot; d&quot;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'15 Gantt'!$B$9:$B$17</c:f>
              <c:strCache>
                <c:ptCount val="9"/>
                <c:pt idx="0">
                  <c:v>Corte de faturamento e vendas</c:v>
                </c:pt>
                <c:pt idx="1">
                  <c:v>Conciliações bancárias</c:v>
                </c:pt>
                <c:pt idx="2">
                  <c:v>Provisões e apropriações</c:v>
                </c:pt>
                <c:pt idx="3">
                  <c:v>Inventário e custo dos estoques</c:v>
                </c:pt>
                <c:pt idx="4">
                  <c:v>Impostos e apurações</c:v>
                </c:pt>
                <c:pt idx="5">
                  <c:v>Consolidação e eliminações</c:v>
                </c:pt>
                <c:pt idx="6">
                  <c:v>Revisão analítica (DRE/BP)</c:v>
                </c:pt>
                <c:pt idx="7">
                  <c:v>Relatório gerencial</c:v>
                </c:pt>
                <c:pt idx="8">
                  <c:v>Reunião de resultados</c:v>
                </c:pt>
              </c:strCache>
            </c:strRef>
          </c:cat>
          <c:val>
            <c:numRef>
              <c:f>'15 Gantt'!$E$9:$E$17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gapWidth val="45"/>
        <c:overlap val="100"/>
        <c:axId val="50150001"/>
        <c:axId val="50150002"/>
      </c:barChart>
      <c:catAx>
        <c:axId val="50150001"/>
        <c:scaling>
          <c:orientation val="maxMin"/>
        </c:scaling>
        <c:axPos val="l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9"/>
          <c:min val="0"/>
        </c:scaling>
        <c:axPos val="t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Dias úteis após o fim do mês (fim do dia)</a:t>
                </a:r>
              </a:p>
            </c:rich>
          </c:tx>
          <c:layout/>
        </c:title>
        <c:numFmt formatCode="&quot;D+&quot;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max"/>
        <c:crossBetween val="between"/>
        <c:majorUnit val="1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Margem bruta por linha de produto · 2025 vs. 2026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'16 Slopegraph'!$B$9</c:f>
              <c:strCache>
                <c:ptCount val="1"/>
                <c:pt idx="0">
                  <c:v>Linha A</c:v>
                </c:pt>
              </c:strCache>
            </c:strRef>
          </c:tx>
          <c:spPr>
            <a:ln w="31750">
              <a:solidFill>
                <a:srgbClr val="EF4517"/>
              </a:solidFill>
            </a:ln>
          </c:spPr>
          <c:marker>
            <c:symbol val="circle"/>
            <c:size val="7"/>
            <c:spPr>
              <a:solidFill>
                <a:srgbClr val="EF4517"/>
              </a:solidFill>
              <a:ln>
                <a:solidFill>
                  <a:srgbClr val="EF4517"/>
                </a:solidFill>
              </a:ln>
            </c:spPr>
          </c:marker>
          <c:dLbls>
            <c:numFmt formatCode="0%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'16 Slopegraph'!$C$8:$D$8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'16 Slopegraph'!$C$9:$D$9</c:f>
              <c:numCache>
                <c:formatCode>General</c:formatCode>
                <c:ptCount val="2"/>
                <c:pt idx="0">
                  <c:v>0.18</c:v>
                </c:pt>
                <c:pt idx="1">
                  <c:v>0.24</c:v>
                </c:pt>
              </c:numCache>
            </c:numRef>
          </c:val>
        </c:ser>
        <c:ser>
          <c:idx val="1"/>
          <c:order val="1"/>
          <c:tx>
            <c:strRef>
              <c:f>'16 Slopegraph'!$B$10</c:f>
              <c:strCache>
                <c:ptCount val="1"/>
                <c:pt idx="0">
                  <c:v>Linha B</c:v>
                </c:pt>
              </c:strCache>
            </c:strRef>
          </c:tx>
          <c:spPr>
            <a:ln w="31750">
              <a:solidFill>
                <a:srgbClr val="BFBFBF"/>
              </a:solidFill>
            </a:ln>
          </c:spPr>
          <c:marker>
            <c:symbol val="circle"/>
            <c:size val="7"/>
            <c:spPr>
              <a:solidFill>
                <a:srgbClr val="BFBFBF"/>
              </a:solidFill>
              <a:ln>
                <a:solidFill>
                  <a:srgbClr val="BFBFBF"/>
                </a:solidFill>
              </a:ln>
            </c:spPr>
          </c:marker>
          <c:dLbls>
            <c:numFmt formatCode="0%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'16 Slopegraph'!$C$8:$D$8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'16 Slopegraph'!$C$10:$D$10</c:f>
              <c:numCache>
                <c:formatCode>General</c:formatCode>
                <c:ptCount val="2"/>
                <c:pt idx="0">
                  <c:v>0.22</c:v>
                </c:pt>
                <c:pt idx="1">
                  <c:v>0.21</c:v>
                </c:pt>
              </c:numCache>
            </c:numRef>
          </c:val>
        </c:ser>
        <c:ser>
          <c:idx val="2"/>
          <c:order val="2"/>
          <c:tx>
            <c:strRef>
              <c:f>'16 Slopegraph'!$B$11</c:f>
              <c:strCache>
                <c:ptCount val="1"/>
                <c:pt idx="0">
                  <c:v>Linha C</c:v>
                </c:pt>
              </c:strCache>
            </c:strRef>
          </c:tx>
          <c:spPr>
            <a:ln w="31750">
              <a:solidFill>
                <a:srgbClr val="F47D5D"/>
              </a:solidFill>
            </a:ln>
          </c:spPr>
          <c:marker>
            <c:symbol val="circle"/>
            <c:size val="7"/>
            <c:spPr>
              <a:solidFill>
                <a:srgbClr val="F47D5D"/>
              </a:solidFill>
              <a:ln>
                <a:solidFill>
                  <a:srgbClr val="F47D5D"/>
                </a:solidFill>
              </a:ln>
            </c:spPr>
          </c:marker>
          <c:dLbls>
            <c:numFmt formatCode="0%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'16 Slopegraph'!$C$8:$D$8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'16 Slopegraph'!$C$11:$D$11</c:f>
              <c:numCache>
                <c:formatCode>General</c:formatCode>
                <c:ptCount val="2"/>
                <c:pt idx="0">
                  <c:v>0.15</c:v>
                </c:pt>
                <c:pt idx="1">
                  <c:v>0.19</c:v>
                </c:pt>
              </c:numCache>
            </c:numRef>
          </c:val>
        </c:ser>
        <c:ser>
          <c:idx val="3"/>
          <c:order val="3"/>
          <c:tx>
            <c:strRef>
              <c:f>'16 Slopegraph'!$B$12</c:f>
              <c:strCache>
                <c:ptCount val="1"/>
                <c:pt idx="0">
                  <c:v>Linha D</c:v>
                </c:pt>
              </c:strCache>
            </c:strRef>
          </c:tx>
          <c:spPr>
            <a:ln w="31750">
              <a:solidFill>
                <a:srgbClr val="8C8C8C"/>
              </a:solidFill>
            </a:ln>
          </c:spPr>
          <c:marker>
            <c:symbol val="circle"/>
            <c:size val="7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marker>
          <c:dLbls>
            <c:numFmt formatCode="0%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'16 Slopegraph'!$C$8:$D$8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'16 Slopegraph'!$C$12:$D$12</c:f>
              <c:numCache>
                <c:formatCode>General</c:formatCode>
                <c:ptCount val="2"/>
                <c:pt idx="0">
                  <c:v>0.27</c:v>
                </c:pt>
                <c:pt idx="1">
                  <c:v>0.23</c:v>
                </c:pt>
              </c:numCache>
            </c:numRef>
          </c:val>
        </c:ser>
        <c:ser>
          <c:idx val="4"/>
          <c:order val="4"/>
          <c:tx>
            <c:strRef>
              <c:f>'16 Slopegraph'!$B$13</c:f>
              <c:strCache>
                <c:ptCount val="1"/>
                <c:pt idx="0">
                  <c:v>Linha E</c:v>
                </c:pt>
              </c:strCache>
            </c:strRef>
          </c:tx>
          <c:spPr>
            <a:ln w="31750">
              <a:solidFill>
                <a:srgbClr val="F9B4A2"/>
              </a:solidFill>
            </a:ln>
          </c:spPr>
          <c:marker>
            <c:symbol val="circle"/>
            <c:size val="7"/>
            <c:spPr>
              <a:solidFill>
                <a:srgbClr val="F9B4A2"/>
              </a:solidFill>
              <a:ln>
                <a:solidFill>
                  <a:srgbClr val="F9B4A2"/>
                </a:solidFill>
              </a:ln>
            </c:spPr>
          </c:marker>
          <c:dLbls>
            <c:numFmt formatCode="0%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'16 Slopegraph'!$C$8:$D$8</c:f>
              <c:numCache>
                <c:formatCode>General</c:formatCode>
                <c:ptCount val="2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'16 Slopegraph'!$C$13:$D$13</c:f>
              <c:numCache>
                <c:formatCode>General</c:formatCode>
                <c:ptCount val="2"/>
                <c:pt idx="0">
                  <c:v>0.12</c:v>
                </c:pt>
                <c:pt idx="1">
                  <c:v>0.16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1100" b="1" baseline="0">
                <a:solidFill>
                  <a:srgbClr val="1A1A1A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0.3"/>
          <c:min val="0.1"/>
        </c:scaling>
        <c:delete val="1"/>
        <c:axPos val="l"/>
        <c:numFmt formatCode="0%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0.05"/>
      </c:valAx>
      <c:spPr>
        <a:noFill/>
        <a:ln>
          <a:noFill/>
        </a:ln>
      </c:spPr>
    </c:plotArea>
    <c:legend>
      <c:legendPos val="r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Desvio das despesas vs. orçamento por área · 2026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'17 Barras divergentes'!$F$8</c:f>
              <c:strCache>
                <c:ptCount val="1"/>
                <c:pt idx="0">
                  <c:v>Acima do orçado</c:v>
                </c:pt>
              </c:strCache>
            </c:strRef>
          </c:tx>
          <c:spPr>
            <a:solidFill>
              <a:srgbClr val="EF4517"/>
            </a:solidFill>
            <a:ln>
              <a:noFill/>
            </a:ln>
          </c:spPr>
          <c:dLbls>
            <c:numFmt formatCode="+0.0%;-0.0%;;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'17 Barras divergentes'!$B$9:$B$16</c:f>
              <c:strCache>
                <c:ptCount val="8"/>
                <c:pt idx="0">
                  <c:v>Tecnologia</c:v>
                </c:pt>
                <c:pt idx="1">
                  <c:v>Comercial</c:v>
                </c:pt>
                <c:pt idx="2">
                  <c:v>Logística</c:v>
                </c:pt>
                <c:pt idx="3">
                  <c:v>Operações</c:v>
                </c:pt>
                <c:pt idx="4">
                  <c:v>Financeiro</c:v>
                </c:pt>
                <c:pt idx="5">
                  <c:v>Recursos Humanos</c:v>
                </c:pt>
                <c:pt idx="6">
                  <c:v>Marketing</c:v>
                </c:pt>
                <c:pt idx="7">
                  <c:v>Jurídico</c:v>
                </c:pt>
              </c:strCache>
            </c:strRef>
          </c:cat>
          <c:val>
            <c:numRef>
              <c:f>'17 Barras divergentes'!$F$9:$F$16</c:f>
              <c:numCache>
                <c:formatCode>General</c:formatCode>
                <c:ptCount val="8"/>
                <c:pt idx="0">
                  <c:v>0.1200000000000001</c:v>
                </c:pt>
                <c:pt idx="1">
                  <c:v>0.08499999999999996</c:v>
                </c:pt>
                <c:pt idx="2">
                  <c:v>0.0672222222222223</c:v>
                </c:pt>
                <c:pt idx="3">
                  <c:v>0.04406249999999989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'17 Barras divergentes'!$G$8</c:f>
              <c:strCache>
                <c:ptCount val="1"/>
                <c:pt idx="0">
                  <c:v>Abaixo do orçado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</c:spPr>
          <c:dLbls>
            <c:numFmt formatCode="+0.0%;-0.0%;;" sourceLinked="0"/>
            <c:txPr>
              <a:bodyPr/>
              <a:lstStyle/>
              <a:p>
                <a:pPr>
                  <a:defRPr sz="900" baseline="0">
                    <a:solidFill>
                      <a:srgbClr val="1A1A1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'17 Barras divergentes'!$B$9:$B$16</c:f>
              <c:strCache>
                <c:ptCount val="8"/>
                <c:pt idx="0">
                  <c:v>Tecnologia</c:v>
                </c:pt>
                <c:pt idx="1">
                  <c:v>Comercial</c:v>
                </c:pt>
                <c:pt idx="2">
                  <c:v>Logística</c:v>
                </c:pt>
                <c:pt idx="3">
                  <c:v>Operações</c:v>
                </c:pt>
                <c:pt idx="4">
                  <c:v>Financeiro</c:v>
                </c:pt>
                <c:pt idx="5">
                  <c:v>Recursos Humanos</c:v>
                </c:pt>
                <c:pt idx="6">
                  <c:v>Marketing</c:v>
                </c:pt>
                <c:pt idx="7">
                  <c:v>Jurídico</c:v>
                </c:pt>
              </c:strCache>
            </c:strRef>
          </c:cat>
          <c:val>
            <c:numRef>
              <c:f>'17 Barras divergentes'!$G$9:$G$16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-0.015555555555555545</c:v>
                </c:pt>
                <c:pt idx="5">
                  <c:v>-0.030909090909090886</c:v>
                </c:pt>
                <c:pt idx="6">
                  <c:v>-0.062307692307692286</c:v>
                </c:pt>
                <c:pt idx="7">
                  <c:v>-0.09833333333333338</c:v>
                </c:pt>
              </c:numCache>
            </c:numRef>
          </c:val>
        </c:ser>
        <c:gapWidth val="45"/>
        <c:overlap val="100"/>
        <c:axId val="50170001"/>
        <c:axId val="50170002"/>
      </c:barChart>
      <c:catAx>
        <c:axId val="50170001"/>
        <c:scaling>
          <c:orientation val="maxMin"/>
        </c:scaling>
        <c:axPos val="l"/>
        <c:majorTickMark val="none"/>
        <c:tickLblPos val="low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0.15"/>
          <c:min val="-0.15"/>
        </c:scaling>
        <c:axPos val="t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Desvio vs. orçado</a:t>
                </a:r>
              </a:p>
            </c:rich>
          </c:tx>
          <c:layout/>
        </c:title>
        <c:numFmt formatCode="+0%;-0%;0%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max"/>
        <c:crossBetween val="between"/>
        <c:majorUnit val="0.05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Devoluções por motivo ·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'19 Pareto'!$C$8</c:f>
              <c:strCache>
                <c:ptCount val="1"/>
                <c:pt idx="0">
                  <c:v>Valor devolvido</c:v>
                </c:pt>
              </c:strCache>
            </c:strRef>
          </c:tx>
          <c:spPr>
            <a:solidFill>
              <a:srgbClr val="EF4517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'19 Pareto'!$B$9:$B$15</c:f>
              <c:strCache>
                <c:ptCount val="7"/>
                <c:pt idx="0">
                  <c:v>Atraso na entrega</c:v>
                </c:pt>
                <c:pt idx="1">
                  <c:v>Produto avariado</c:v>
                </c:pt>
                <c:pt idx="2">
                  <c:v>Erro de faturamento</c:v>
                </c:pt>
                <c:pt idx="3">
                  <c:v>Pedido duplicado</c:v>
                </c:pt>
                <c:pt idx="4">
                  <c:v>Especificação incorreta</c:v>
                </c:pt>
                <c:pt idx="5">
                  <c:v>Arrependimento do cliente</c:v>
                </c:pt>
                <c:pt idx="6">
                  <c:v>Outros</c:v>
                </c:pt>
              </c:strCache>
            </c:strRef>
          </c:cat>
          <c:val>
            <c:numRef>
              <c:f>'19 Pareto'!$C$9:$C$15</c:f>
              <c:numCache>
                <c:formatCode>General</c:formatCode>
                <c:ptCount val="7"/>
                <c:pt idx="0">
                  <c:v>420</c:v>
                </c:pt>
                <c:pt idx="1">
                  <c:v>310</c:v>
                </c:pt>
                <c:pt idx="2">
                  <c:v>180</c:v>
                </c:pt>
                <c:pt idx="3">
                  <c:v>95</c:v>
                </c:pt>
                <c:pt idx="4">
                  <c:v>70</c:v>
                </c:pt>
                <c:pt idx="5">
                  <c:v>40</c:v>
                </c:pt>
                <c:pt idx="6">
                  <c:v>25</c:v>
                </c:pt>
              </c:numCache>
            </c:numRef>
          </c:val>
        </c:ser>
        <c:gapWidth val="40"/>
        <c:axId val="50180001"/>
        <c:axId val="50180002"/>
      </c:barChart>
      <c:lineChart>
        <c:grouping val="standard"/>
        <c:ser>
          <c:idx val="1"/>
          <c:order val="1"/>
          <c:tx>
            <c:strRef>
              <c:f>'19 Pareto'!$F$8</c:f>
              <c:strCache>
                <c:ptCount val="1"/>
                <c:pt idx="0">
                  <c:v>Referência 80%</c:v>
                </c:pt>
              </c:strCache>
            </c:strRef>
          </c:tx>
          <c:spPr>
            <a:ln w="12700">
              <a:solidFill>
                <a:srgbClr val="8C8C8C"/>
              </a:solidFill>
              <a:prstDash val="dash"/>
            </a:ln>
          </c:spPr>
          <c:marker>
            <c:symbol val="none"/>
          </c:marker>
          <c:cat>
            <c:strRef>
              <c:f>'19 Pareto'!$B$9:$B$15</c:f>
              <c:strCache>
                <c:ptCount val="7"/>
                <c:pt idx="0">
                  <c:v>Atraso na entrega</c:v>
                </c:pt>
                <c:pt idx="1">
                  <c:v>Produto avariado</c:v>
                </c:pt>
                <c:pt idx="2">
                  <c:v>Erro de faturamento</c:v>
                </c:pt>
                <c:pt idx="3">
                  <c:v>Pedido duplicado</c:v>
                </c:pt>
                <c:pt idx="4">
                  <c:v>Especificação incorreta</c:v>
                </c:pt>
                <c:pt idx="5">
                  <c:v>Arrependimento do cliente</c:v>
                </c:pt>
                <c:pt idx="6">
                  <c:v>Outros</c:v>
                </c:pt>
              </c:strCache>
            </c:strRef>
          </c:cat>
          <c:val>
            <c:numRef>
              <c:f>'19 Pareto'!$F$9:$F$15</c:f>
              <c:numCache>
                <c:formatCode>General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</c:ser>
        <c:ser>
          <c:idx val="2"/>
          <c:order val="2"/>
          <c:tx>
            <c:strRef>
              <c:f>'19 Pareto'!$E$8</c:f>
              <c:strCache>
                <c:ptCount val="1"/>
                <c:pt idx="0">
                  <c:v>% acumulado</c:v>
                </c:pt>
              </c:strCache>
            </c:strRef>
          </c:tx>
          <c:spPr>
            <a:ln w="19050">
              <a:solidFill>
                <a:srgbClr val="40404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 w="15875">
                <a:solidFill>
                  <a:srgbClr val="404040"/>
                </a:solidFill>
              </a:ln>
            </c:spPr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'19 Pareto'!$B$9:$B$15</c:f>
              <c:strCache>
                <c:ptCount val="7"/>
                <c:pt idx="0">
                  <c:v>Atraso na entrega</c:v>
                </c:pt>
                <c:pt idx="1">
                  <c:v>Produto avariado</c:v>
                </c:pt>
                <c:pt idx="2">
                  <c:v>Erro de faturamento</c:v>
                </c:pt>
                <c:pt idx="3">
                  <c:v>Pedido duplicado</c:v>
                </c:pt>
                <c:pt idx="4">
                  <c:v>Especificação incorreta</c:v>
                </c:pt>
                <c:pt idx="5">
                  <c:v>Arrependimento do cliente</c:v>
                </c:pt>
                <c:pt idx="6">
                  <c:v>Outros</c:v>
                </c:pt>
              </c:strCache>
            </c:strRef>
          </c:cat>
          <c:val>
            <c:numRef>
              <c:f>'19 Pareto'!$E$9:$E$15</c:f>
              <c:numCache>
                <c:formatCode>General</c:formatCode>
                <c:ptCount val="7"/>
                <c:pt idx="0">
                  <c:v>0.3684210526315789</c:v>
                </c:pt>
                <c:pt idx="1">
                  <c:v>0.6403508771929824</c:v>
                </c:pt>
                <c:pt idx="2">
                  <c:v>0.7982456140350878</c:v>
                </c:pt>
                <c:pt idx="3">
                  <c:v>0.881578947368421</c:v>
                </c:pt>
                <c:pt idx="4">
                  <c:v>0.9429824561403509</c:v>
                </c:pt>
                <c:pt idx="5">
                  <c:v>0.9780701754385965</c:v>
                </c:pt>
                <c:pt idx="6">
                  <c:v>1.0</c:v>
                </c:pt>
              </c:numCache>
            </c:numRef>
          </c:val>
        </c:ser>
        <c:marker val="1"/>
        <c:axId val="60180001"/>
        <c:axId val="60180002"/>
      </c:lineChart>
      <c:catAx>
        <c:axId val="5018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R$ mil</a:t>
                </a:r>
              </a:p>
            </c:rich>
          </c:tx>
          <c:layout/>
        </c:title>
        <c:numFmt formatCode="#,##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between"/>
      </c:valAx>
      <c:valAx>
        <c:axId val="60180002"/>
        <c:scaling>
          <c:orientation val="minMax"/>
          <c:max val="1"/>
          <c:min val="0"/>
        </c:scaling>
        <c:axPos val="r"/>
        <c:title>
          <c:tx>
            <c:rich>
              <a:bodyPr rot="-5400000" vert="horz"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% acumulado</a:t>
                </a:r>
              </a:p>
            </c:rich>
          </c:tx>
          <c:layout/>
        </c:title>
        <c:numFmt formatCode="0%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0180001"/>
        <c:crosses val="max"/>
        <c:crossBetween val="between"/>
        <c:majorUnit val="0.2"/>
      </c:valAx>
      <c:catAx>
        <c:axId val="60180001"/>
        <c:scaling>
          <c:orientation val="minMax"/>
        </c:scaling>
        <c:delete val="1"/>
        <c:axPos val="b"/>
        <c:tickLblPos val="none"/>
        <c:crossAx val="60180002"/>
        <c:crosses val="autoZero"/>
        <c:auto val="1"/>
        <c:lblAlgn val="ctr"/>
        <c:lblOffset val="100"/>
      </c:cat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1A1A"/>
                </a:solidFill>
                <a:latin typeface="Calibri"/>
              </a:defRPr>
            </a:pPr>
            <a:r>
              <a:rPr lang="en-US" sz="1200" b="1" baseline="0">
                <a:solidFill>
                  <a:srgbClr val="1A1A1A"/>
                </a:solidFill>
                <a:latin typeface="Calibri"/>
              </a:rPr>
              <a:t>Receita, despesas e clientes · base 100 = T1/2025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'20 Linhas indexadas'!$F$8</c:f>
              <c:strCache>
                <c:ptCount val="1"/>
                <c:pt idx="0">
                  <c:v>Receita (índice)</c:v>
                </c:pt>
              </c:strCache>
            </c:strRef>
          </c:tx>
          <c:spPr>
            <a:ln w="34925">
              <a:solidFill>
                <a:srgbClr val="EF4517"/>
              </a:solidFill>
            </a:ln>
          </c:spPr>
          <c:marker>
            <c:symbol val="circle"/>
            <c:size val="4"/>
            <c:spPr>
              <a:solidFill>
                <a:srgbClr val="EF4517"/>
              </a:solidFill>
              <a:ln>
                <a:solidFill>
                  <a:srgbClr val="EF4517"/>
                </a:solidFill>
              </a:ln>
            </c:spPr>
          </c:marker>
          <c:cat>
            <c:strRef>
              <c:f>'20 Linhas indexadas'!$B$9:$B$16</c:f>
              <c:strCache>
                <c:ptCount val="8"/>
                <c:pt idx="0">
                  <c:v>T1/25</c:v>
                </c:pt>
                <c:pt idx="1">
                  <c:v>T2/25</c:v>
                </c:pt>
                <c:pt idx="2">
                  <c:v>T3/25</c:v>
                </c:pt>
                <c:pt idx="3">
                  <c:v>T4/25</c:v>
                </c:pt>
                <c:pt idx="4">
                  <c:v>T1/26</c:v>
                </c:pt>
                <c:pt idx="5">
                  <c:v>T2/26</c:v>
                </c:pt>
                <c:pt idx="6">
                  <c:v>T3/26</c:v>
                </c:pt>
                <c:pt idx="7">
                  <c:v>T4/26</c:v>
                </c:pt>
              </c:strCache>
            </c:strRef>
          </c:cat>
          <c:val>
            <c:numRef>
              <c:f>'20 Linhas indexadas'!$F$9:$F$16</c:f>
              <c:numCache>
                <c:formatCode>General</c:formatCode>
                <c:ptCount val="8"/>
                <c:pt idx="0">
                  <c:v>100.0</c:v>
                </c:pt>
                <c:pt idx="1">
                  <c:v>103.57142857142858</c:v>
                </c:pt>
                <c:pt idx="2">
                  <c:v>107.14285714285714</c:v>
                </c:pt>
                <c:pt idx="3">
                  <c:v>114.28571428571428</c:v>
                </c:pt>
                <c:pt idx="4">
                  <c:v>116.66666666666667</c:v>
                </c:pt>
                <c:pt idx="5">
                  <c:v>122.61904761904762</c:v>
                </c:pt>
                <c:pt idx="6">
                  <c:v>128.57142857142858</c:v>
                </c:pt>
                <c:pt idx="7">
                  <c:v>138.0952380952381</c:v>
                </c:pt>
              </c:numCache>
            </c:numRef>
          </c:val>
        </c:ser>
        <c:ser>
          <c:idx val="1"/>
          <c:order val="1"/>
          <c:tx>
            <c:strRef>
              <c:f>'20 Linhas indexadas'!$G$8</c:f>
              <c:strCache>
                <c:ptCount val="1"/>
                <c:pt idx="0">
                  <c:v>Despesas (índice)</c:v>
                </c:pt>
              </c:strCache>
            </c:strRef>
          </c:tx>
          <c:spPr>
            <a:ln w="25400">
              <a:solidFill>
                <a:srgbClr val="8C8C8C"/>
              </a:solidFill>
            </a:ln>
          </c:spPr>
          <c:marker>
            <c:symbol val="circle"/>
            <c:size val="4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marker>
          <c:cat>
            <c:strRef>
              <c:f>'20 Linhas indexadas'!$B$9:$B$16</c:f>
              <c:strCache>
                <c:ptCount val="8"/>
                <c:pt idx="0">
                  <c:v>T1/25</c:v>
                </c:pt>
                <c:pt idx="1">
                  <c:v>T2/25</c:v>
                </c:pt>
                <c:pt idx="2">
                  <c:v>T3/25</c:v>
                </c:pt>
                <c:pt idx="3">
                  <c:v>T4/25</c:v>
                </c:pt>
                <c:pt idx="4">
                  <c:v>T1/26</c:v>
                </c:pt>
                <c:pt idx="5">
                  <c:v>T2/26</c:v>
                </c:pt>
                <c:pt idx="6">
                  <c:v>T3/26</c:v>
                </c:pt>
                <c:pt idx="7">
                  <c:v>T4/26</c:v>
                </c:pt>
              </c:strCache>
            </c:strRef>
          </c:cat>
          <c:val>
            <c:numRef>
              <c:f>'20 Linhas indexadas'!$G$9:$G$16</c:f>
              <c:numCache>
                <c:formatCode>General</c:formatCode>
                <c:ptCount val="8"/>
                <c:pt idx="0">
                  <c:v>100.0</c:v>
                </c:pt>
                <c:pt idx="1">
                  <c:v>102.66666666666666</c:v>
                </c:pt>
                <c:pt idx="2">
                  <c:v>106.66666666666667</c:v>
                </c:pt>
                <c:pt idx="3">
                  <c:v>113.33333333333333</c:v>
                </c:pt>
                <c:pt idx="4">
                  <c:v>118.66666666666667</c:v>
                </c:pt>
                <c:pt idx="5">
                  <c:v>123.33333333333334</c:v>
                </c:pt>
                <c:pt idx="6">
                  <c:v>130.0</c:v>
                </c:pt>
                <c:pt idx="7">
                  <c:v>136.66666666666666</c:v>
                </c:pt>
              </c:numCache>
            </c:numRef>
          </c:val>
        </c:ser>
        <c:ser>
          <c:idx val="2"/>
          <c:order val="2"/>
          <c:tx>
            <c:strRef>
              <c:f>'20 Linhas indexadas'!$H$8</c:f>
              <c:strCache>
                <c:ptCount val="1"/>
                <c:pt idx="0">
                  <c:v>Clientes (índice)</c:v>
                </c:pt>
              </c:strCache>
            </c:strRef>
          </c:tx>
          <c:spPr>
            <a:ln w="25400">
              <a:solidFill>
                <a:srgbClr val="F9B4A2"/>
              </a:solidFill>
            </a:ln>
          </c:spPr>
          <c:marker>
            <c:symbol val="circle"/>
            <c:size val="4"/>
            <c:spPr>
              <a:solidFill>
                <a:srgbClr val="F9B4A2"/>
              </a:solidFill>
              <a:ln>
                <a:solidFill>
                  <a:srgbClr val="F9B4A2"/>
                </a:solidFill>
              </a:ln>
            </c:spPr>
          </c:marker>
          <c:cat>
            <c:strRef>
              <c:f>'20 Linhas indexadas'!$B$9:$B$16</c:f>
              <c:strCache>
                <c:ptCount val="8"/>
                <c:pt idx="0">
                  <c:v>T1/25</c:v>
                </c:pt>
                <c:pt idx="1">
                  <c:v>T2/25</c:v>
                </c:pt>
                <c:pt idx="2">
                  <c:v>T3/25</c:v>
                </c:pt>
                <c:pt idx="3">
                  <c:v>T4/25</c:v>
                </c:pt>
                <c:pt idx="4">
                  <c:v>T1/26</c:v>
                </c:pt>
                <c:pt idx="5">
                  <c:v>T2/26</c:v>
                </c:pt>
                <c:pt idx="6">
                  <c:v>T3/26</c:v>
                </c:pt>
                <c:pt idx="7">
                  <c:v>T4/26</c:v>
                </c:pt>
              </c:strCache>
            </c:strRef>
          </c:cat>
          <c:val>
            <c:numRef>
              <c:f>'20 Linhas indexadas'!$H$9:$H$16</c:f>
              <c:numCache>
                <c:formatCode>General</c:formatCode>
                <c:ptCount val="8"/>
                <c:pt idx="0">
                  <c:v>100.0</c:v>
                </c:pt>
                <c:pt idx="1">
                  <c:v>104.0</c:v>
                </c:pt>
                <c:pt idx="2">
                  <c:v>105.60000000000001</c:v>
                </c:pt>
                <c:pt idx="3">
                  <c:v>112.00000000000001</c:v>
                </c:pt>
                <c:pt idx="4">
                  <c:v>117.6</c:v>
                </c:pt>
                <c:pt idx="5">
                  <c:v>121.6</c:v>
                </c:pt>
                <c:pt idx="6">
                  <c:v>128.8</c:v>
                </c:pt>
                <c:pt idx="7">
                  <c:v>136.0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145"/>
          <c:min val="90"/>
        </c:scaling>
        <c:axPos val="l"/>
        <c:majorGridlines>
          <c:spPr>
            <a:ln w="9525">
              <a:solidFill>
                <a:srgbClr val="E6E6E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0" baseline="0">
                    <a:solidFill>
                      <a:srgbClr val="595959"/>
                    </a:solidFill>
                    <a:latin typeface="Calibri"/>
                  </a:rPr>
                  <a:t>Índice (T1/25 = 100)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between"/>
        <c:majorUnit val="10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4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5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6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8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9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1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3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4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5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6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8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76200</xdr:rowOff>
    </xdr:from>
    <xdr:to>
      <xdr:col>2</xdr:col>
      <xdr:colOff>279457</xdr:colOff>
      <xdr:row>1</xdr:row>
      <xdr:rowOff>277612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47650"/>
          <a:ext cx="727132" cy="2014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2</xdr:col>
      <xdr:colOff>160676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15</xdr:col>
      <xdr:colOff>742950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0</xdr:row>
      <xdr:rowOff>57150</xdr:rowOff>
    </xdr:from>
    <xdr:to>
      <xdr:col>1</xdr:col>
      <xdr:colOff>541676</xdr:colOff>
      <xdr:row>0</xdr:row>
      <xdr:rowOff>201915</xdr:rowOff>
    </xdr:to>
    <xdr:pic>
      <xdr:nvPicPr>
        <xdr:cNvPr id="2" name="Picture 1" descr="CFOs_ai_Principal_FundoClar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522626" cy="144765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</xdr:row>
      <xdr:rowOff>0</xdr:rowOff>
    </xdr:from>
    <xdr:to>
      <xdr:col>17</xdr:col>
      <xdr:colOff>38100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1"/>
  <sheetViews>
    <sheetView showGridLines="0" tabSelected="1" workbookViewId="0"/>
  </sheetViews>
  <sheetFormatPr defaultRowHeight="15"/>
  <cols>
    <col min="1" max="1" width="3.7109375" customWidth="1"/>
    <col min="2" max="2" width="6.7109375" customWidth="1"/>
    <col min="3" max="3" width="32.7109375" customWidth="1"/>
    <col min="4" max="4" width="95.7109375" customWidth="1"/>
  </cols>
  <sheetData>
    <row r="1" spans="2:3" ht="14" customHeight="1"/>
    <row r="2" spans="2:3" ht="70" customHeight="1"/>
    <row r="3" spans="2:3" s="1" customFormat="1" ht="6" customHeight="1"/>
    <row r="5" spans="2:3" ht="36" customHeight="1">
      <c r="B5" s="2" t="s">
        <v>0</v>
      </c>
    </row>
    <row r="6" spans="2:3">
      <c r="B6" s="3" t="s">
        <v>1</v>
      </c>
    </row>
    <row r="7" spans="2:3">
      <c r="B7" s="4" t="s">
        <v>2</v>
      </c>
    </row>
    <row r="9" spans="2:3">
      <c r="B9" s="5" t="s">
        <v>3</v>
      </c>
    </row>
    <row r="10" spans="2:3" ht="20" customHeight="1">
      <c r="B10" s="6" t="s">
        <v>4</v>
      </c>
      <c r="C10" s="7" t="s">
        <v>5</v>
      </c>
    </row>
    <row r="11" spans="2:3" ht="20" customHeight="1">
      <c r="B11" s="6" t="s">
        <v>6</v>
      </c>
      <c r="C11" s="7" t="s">
        <v>7</v>
      </c>
    </row>
    <row r="12" spans="2:3" ht="20" customHeight="1">
      <c r="B12" s="6" t="s">
        <v>8</v>
      </c>
      <c r="C12" s="7" t="s">
        <v>9</v>
      </c>
    </row>
    <row r="13" spans="2:3" ht="20" customHeight="1">
      <c r="B13" s="6" t="s">
        <v>10</v>
      </c>
      <c r="C13" s="7" t="s">
        <v>11</v>
      </c>
    </row>
    <row r="14" spans="2:3" ht="20" customHeight="1">
      <c r="B14" s="6" t="s">
        <v>12</v>
      </c>
      <c r="C14" s="7" t="s">
        <v>13</v>
      </c>
    </row>
    <row r="15" spans="2:3" ht="20" customHeight="1">
      <c r="B15" s="6" t="s">
        <v>14</v>
      </c>
      <c r="C15" s="7" t="s">
        <v>15</v>
      </c>
    </row>
    <row r="17" spans="2:4">
      <c r="B17" s="5" t="s">
        <v>16</v>
      </c>
    </row>
    <row r="18" spans="2:4">
      <c r="B18" s="8" t="s">
        <v>17</v>
      </c>
      <c r="C18" s="8" t="s">
        <v>18</v>
      </c>
      <c r="D18" s="8" t="s">
        <v>19</v>
      </c>
    </row>
    <row r="19" spans="2:4">
      <c r="B19" s="9" t="s">
        <v>20</v>
      </c>
      <c r="C19" s="10" t="s">
        <v>21</v>
      </c>
      <c r="D19" s="11" t="s">
        <v>22</v>
      </c>
    </row>
    <row r="20" spans="2:4">
      <c r="B20" s="12" t="s">
        <v>23</v>
      </c>
      <c r="C20" s="10" t="s">
        <v>24</v>
      </c>
      <c r="D20" s="11" t="s">
        <v>25</v>
      </c>
    </row>
    <row r="21" spans="2:4">
      <c r="B21" s="12" t="s">
        <v>26</v>
      </c>
      <c r="C21" s="10" t="s">
        <v>27</v>
      </c>
      <c r="D21" s="11" t="s">
        <v>28</v>
      </c>
    </row>
    <row r="22" spans="2:4">
      <c r="B22" s="12" t="s">
        <v>29</v>
      </c>
      <c r="C22" s="10" t="s">
        <v>30</v>
      </c>
      <c r="D22" s="11" t="s">
        <v>31</v>
      </c>
    </row>
    <row r="23" spans="2:4">
      <c r="B23" s="12" t="s">
        <v>32</v>
      </c>
      <c r="C23" s="10" t="s">
        <v>33</v>
      </c>
      <c r="D23" s="11" t="s">
        <v>34</v>
      </c>
    </row>
    <row r="24" spans="2:4">
      <c r="B24" s="12" t="s">
        <v>35</v>
      </c>
      <c r="C24" s="10" t="s">
        <v>36</v>
      </c>
      <c r="D24" s="11" t="s">
        <v>37</v>
      </c>
    </row>
    <row r="25" spans="2:4">
      <c r="B25" s="12" t="s">
        <v>38</v>
      </c>
      <c r="C25" s="10" t="s">
        <v>39</v>
      </c>
      <c r="D25" s="11" t="s">
        <v>40</v>
      </c>
    </row>
    <row r="26" spans="2:4">
      <c r="B26" s="12" t="s">
        <v>41</v>
      </c>
      <c r="C26" s="10" t="s">
        <v>42</v>
      </c>
      <c r="D26" s="11" t="s">
        <v>43</v>
      </c>
    </row>
    <row r="27" spans="2:4">
      <c r="B27" s="12" t="s">
        <v>44</v>
      </c>
      <c r="C27" s="10" t="s">
        <v>45</v>
      </c>
      <c r="D27" s="11" t="s">
        <v>46</v>
      </c>
    </row>
    <row r="28" spans="2:4">
      <c r="B28" s="12" t="s">
        <v>47</v>
      </c>
      <c r="C28" s="10" t="s">
        <v>48</v>
      </c>
      <c r="D28" s="11" t="s">
        <v>49</v>
      </c>
    </row>
    <row r="29" spans="2:4">
      <c r="B29" s="12" t="s">
        <v>50</v>
      </c>
      <c r="C29" s="10" t="s">
        <v>51</v>
      </c>
      <c r="D29" s="11" t="s">
        <v>52</v>
      </c>
    </row>
    <row r="30" spans="2:4">
      <c r="B30" s="12" t="s">
        <v>53</v>
      </c>
      <c r="C30" s="10" t="s">
        <v>54</v>
      </c>
      <c r="D30" s="11" t="s">
        <v>55</v>
      </c>
    </row>
    <row r="31" spans="2:4">
      <c r="B31" s="12" t="s">
        <v>56</v>
      </c>
      <c r="C31" s="10" t="s">
        <v>57</v>
      </c>
      <c r="D31" s="11" t="s">
        <v>58</v>
      </c>
    </row>
    <row r="32" spans="2:4">
      <c r="B32" s="12" t="s">
        <v>59</v>
      </c>
      <c r="C32" s="10" t="s">
        <v>60</v>
      </c>
      <c r="D32" s="11" t="s">
        <v>61</v>
      </c>
    </row>
    <row r="33" spans="2:4">
      <c r="B33" s="12" t="s">
        <v>62</v>
      </c>
      <c r="C33" s="10" t="s">
        <v>63</v>
      </c>
      <c r="D33" s="11" t="s">
        <v>64</v>
      </c>
    </row>
    <row r="34" spans="2:4">
      <c r="B34" s="12" t="s">
        <v>65</v>
      </c>
      <c r="C34" s="10" t="s">
        <v>66</v>
      </c>
      <c r="D34" s="11" t="s">
        <v>67</v>
      </c>
    </row>
    <row r="35" spans="2:4">
      <c r="B35" s="12" t="s">
        <v>68</v>
      </c>
      <c r="C35" s="10" t="s">
        <v>69</v>
      </c>
      <c r="D35" s="11" t="s">
        <v>70</v>
      </c>
    </row>
    <row r="36" spans="2:4">
      <c r="B36" s="12" t="s">
        <v>71</v>
      </c>
      <c r="C36" s="10" t="s">
        <v>72</v>
      </c>
      <c r="D36" s="11" t="s">
        <v>73</v>
      </c>
    </row>
    <row r="37" spans="2:4">
      <c r="B37" s="12" t="s">
        <v>74</v>
      </c>
      <c r="C37" s="10" t="s">
        <v>75</v>
      </c>
      <c r="D37" s="11" t="s">
        <v>76</v>
      </c>
    </row>
    <row r="38" spans="2:4">
      <c r="B38" s="12" t="s">
        <v>77</v>
      </c>
      <c r="C38" s="10" t="s">
        <v>78</v>
      </c>
      <c r="D38" s="11" t="s">
        <v>79</v>
      </c>
    </row>
    <row r="39" spans="2:4">
      <c r="B39" s="12" t="s">
        <v>80</v>
      </c>
      <c r="C39" s="10" t="s">
        <v>81</v>
      </c>
      <c r="D39" s="11" t="s">
        <v>82</v>
      </c>
    </row>
    <row r="41" spans="2:4">
      <c r="B41" s="13" t="s">
        <v>83</v>
      </c>
    </row>
  </sheetData>
  <hyperlinks>
    <hyperlink ref="C19" location="'Guia de escolha'!A1" display="Guia de escolha"/>
    <hyperlink ref="C20" location="'01 Colunas'!A1" display="Colunas"/>
    <hyperlink ref="C21" location="'02 Barras horizontais'!A1" display="Barras horizontais"/>
    <hyperlink ref="C22" location="'03 Colunas agrupadas'!A1" display="Colunas agrupadas"/>
    <hyperlink ref="C23" location="'04 Colunas empilhadas'!A1" display="Colunas empilhadas"/>
    <hyperlink ref="C24" location="'05 Empilhadas 100%'!A1" display="Empilhadas 100%"/>
    <hyperlink ref="C25" location="'06 Linhas'!A1" display="Linhas"/>
    <hyperlink ref="C26" location="'07 Área'!A1" display="Área"/>
    <hyperlink ref="C27" location="'08 Pizza'!A1" display="Pizza"/>
    <hyperlink ref="C28" location="'09 Rosca'!A1" display="Rosca"/>
    <hyperlink ref="C29" location="'10 Dispersão'!A1" display="Dispersão"/>
    <hyperlink ref="C30" location="'11 Bolhas'!A1" display="Bolhas"/>
    <hyperlink ref="C31" location="'12 Radar'!A1" display="Radar"/>
    <hyperlink ref="C32" location="'13 Histograma'!A1" display="Histograma"/>
    <hyperlink ref="C33" location="'14 Cascata'!A1" display="Cascata (ponte do EBITDA)"/>
    <hyperlink ref="C34" location="'15 Gantt'!A1" display="Gantt (fechamento mensal)"/>
    <hyperlink ref="C35" location="'16 Slopegraph'!A1" display="Slopegraph"/>
    <hyperlink ref="C36" location="'17 Barras divergentes'!A1" display="Barras divergentes"/>
    <hyperlink ref="C37" location="'18 Mapa de calor'!A1" display="Mapa de calor"/>
    <hyperlink ref="C38" location="'19 Pareto'!A1" display="Pareto"/>
    <hyperlink ref="C39" location="'20 Linhas indexadas'!A1" display="Linhas indexadas (base 100)"/>
  </hyperlinks>
  <pageMargins left="0.7" right="0.7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2.7109375" customWidth="1"/>
    <col min="2" max="2" width="5.7109375" customWidth="1"/>
    <col min="3" max="3" width="24.7109375" customWidth="1"/>
    <col min="4" max="4" width="18.7109375" customWidth="1"/>
    <col min="5" max="5" width="32.7109375" customWidth="1"/>
    <col min="6" max="7" width="55.7109375" customWidth="1"/>
    <col min="8" max="8" width="22.7109375" customWidth="1"/>
    <col min="9" max="9" width="12.7109375" customWidth="1"/>
  </cols>
  <sheetData>
    <row r="1" spans="2:9" s="14" customFormat="1" ht="46" customHeight="1">
      <c r="D1" s="15" t="s">
        <v>84</v>
      </c>
      <c r="I1" s="16" t="s">
        <v>87</v>
      </c>
    </row>
    <row r="2" spans="2:9" s="1" customFormat="1" ht="5" customHeight="1"/>
    <row r="3" spans="2:9" ht="10" customHeight="1"/>
    <row r="4" spans="2:9" ht="26" customHeight="1">
      <c r="B4" s="17" t="s">
        <v>85</v>
      </c>
    </row>
    <row r="5" spans="2:9">
      <c r="B5" s="18" t="s">
        <v>86</v>
      </c>
    </row>
    <row r="7" spans="2:9">
      <c r="B7" s="8" t="s">
        <v>17</v>
      </c>
      <c r="C7" s="8" t="s">
        <v>88</v>
      </c>
      <c r="D7" s="8" t="s">
        <v>89</v>
      </c>
      <c r="E7" s="8" t="s">
        <v>90</v>
      </c>
      <c r="F7" s="8" t="s">
        <v>91</v>
      </c>
      <c r="G7" s="8" t="s">
        <v>92</v>
      </c>
      <c r="H7" s="8" t="s">
        <v>18</v>
      </c>
    </row>
    <row r="8" spans="2:9" ht="46.5" customHeight="1">
      <c r="B8" s="19" t="s">
        <v>23</v>
      </c>
      <c r="C8" s="20" t="s">
        <v>24</v>
      </c>
      <c r="D8" s="21" t="s">
        <v>93</v>
      </c>
      <c r="E8" s="21" t="s">
        <v>25</v>
      </c>
      <c r="F8" s="21" t="s">
        <v>94</v>
      </c>
      <c r="G8" s="21" t="s">
        <v>95</v>
      </c>
      <c r="H8" s="22" t="s">
        <v>96</v>
      </c>
    </row>
    <row r="9" spans="2:9" ht="33" customHeight="1">
      <c r="B9" s="19" t="s">
        <v>26</v>
      </c>
      <c r="C9" s="20" t="s">
        <v>27</v>
      </c>
      <c r="D9" s="21" t="s">
        <v>97</v>
      </c>
      <c r="E9" s="21" t="s">
        <v>28</v>
      </c>
      <c r="F9" s="21" t="s">
        <v>98</v>
      </c>
      <c r="G9" s="21" t="s">
        <v>99</v>
      </c>
      <c r="H9" s="22" t="s">
        <v>100</v>
      </c>
    </row>
    <row r="10" spans="2:9" ht="46.5" customHeight="1">
      <c r="B10" s="19" t="s">
        <v>29</v>
      </c>
      <c r="C10" s="20" t="s">
        <v>30</v>
      </c>
      <c r="D10" s="21" t="s">
        <v>93</v>
      </c>
      <c r="E10" s="21" t="s">
        <v>31</v>
      </c>
      <c r="F10" s="21" t="s">
        <v>101</v>
      </c>
      <c r="G10" s="21" t="s">
        <v>102</v>
      </c>
      <c r="H10" s="22" t="s">
        <v>103</v>
      </c>
    </row>
    <row r="11" spans="2:9" ht="46.5" customHeight="1">
      <c r="B11" s="19" t="s">
        <v>32</v>
      </c>
      <c r="C11" s="20" t="s">
        <v>33</v>
      </c>
      <c r="D11" s="21" t="s">
        <v>104</v>
      </c>
      <c r="E11" s="21" t="s">
        <v>34</v>
      </c>
      <c r="F11" s="21" t="s">
        <v>105</v>
      </c>
      <c r="G11" s="21" t="s">
        <v>106</v>
      </c>
      <c r="H11" s="22" t="s">
        <v>107</v>
      </c>
    </row>
    <row r="12" spans="2:9" ht="33" customHeight="1">
      <c r="B12" s="19" t="s">
        <v>35</v>
      </c>
      <c r="C12" s="20" t="s">
        <v>36</v>
      </c>
      <c r="D12" s="21" t="s">
        <v>108</v>
      </c>
      <c r="E12" s="21" t="s">
        <v>37</v>
      </c>
      <c r="F12" s="21" t="s">
        <v>109</v>
      </c>
      <c r="G12" s="21" t="s">
        <v>110</v>
      </c>
      <c r="H12" s="22" t="s">
        <v>111</v>
      </c>
    </row>
    <row r="13" spans="2:9" ht="46.5" customHeight="1">
      <c r="B13" s="19" t="s">
        <v>38</v>
      </c>
      <c r="C13" s="20" t="s">
        <v>39</v>
      </c>
      <c r="D13" s="21" t="s">
        <v>112</v>
      </c>
      <c r="E13" s="21" t="s">
        <v>40</v>
      </c>
      <c r="F13" s="21" t="s">
        <v>113</v>
      </c>
      <c r="G13" s="21" t="s">
        <v>114</v>
      </c>
      <c r="H13" s="22" t="s">
        <v>115</v>
      </c>
    </row>
    <row r="14" spans="2:9" ht="33" customHeight="1">
      <c r="B14" s="19" t="s">
        <v>41</v>
      </c>
      <c r="C14" s="20" t="s">
        <v>42</v>
      </c>
      <c r="D14" s="21" t="s">
        <v>116</v>
      </c>
      <c r="E14" s="21" t="s">
        <v>43</v>
      </c>
      <c r="F14" s="21" t="s">
        <v>117</v>
      </c>
      <c r="G14" s="21" t="s">
        <v>118</v>
      </c>
      <c r="H14" s="22" t="s">
        <v>119</v>
      </c>
    </row>
    <row r="15" spans="2:9" ht="33" customHeight="1">
      <c r="B15" s="19" t="s">
        <v>44</v>
      </c>
      <c r="C15" s="20" t="s">
        <v>45</v>
      </c>
      <c r="D15" s="21" t="s">
        <v>120</v>
      </c>
      <c r="E15" s="21" t="s">
        <v>46</v>
      </c>
      <c r="F15" s="21" t="s">
        <v>121</v>
      </c>
      <c r="G15" s="21" t="s">
        <v>122</v>
      </c>
      <c r="H15" s="22" t="s">
        <v>123</v>
      </c>
    </row>
    <row r="16" spans="2:9" ht="33" customHeight="1">
      <c r="B16" s="19" t="s">
        <v>47</v>
      </c>
      <c r="C16" s="20" t="s">
        <v>48</v>
      </c>
      <c r="D16" s="21" t="s">
        <v>120</v>
      </c>
      <c r="E16" s="21" t="s">
        <v>49</v>
      </c>
      <c r="F16" s="21" t="s">
        <v>124</v>
      </c>
      <c r="G16" s="21" t="s">
        <v>125</v>
      </c>
      <c r="H16" s="22" t="s">
        <v>126</v>
      </c>
    </row>
    <row r="17" spans="2:8" ht="33" customHeight="1">
      <c r="B17" s="19" t="s">
        <v>50</v>
      </c>
      <c r="C17" s="20" t="s">
        <v>51</v>
      </c>
      <c r="D17" s="21" t="s">
        <v>127</v>
      </c>
      <c r="E17" s="21" t="s">
        <v>52</v>
      </c>
      <c r="F17" s="21" t="s">
        <v>128</v>
      </c>
      <c r="G17" s="21" t="s">
        <v>129</v>
      </c>
      <c r="H17" s="22" t="s">
        <v>130</v>
      </c>
    </row>
    <row r="18" spans="2:8" ht="33" customHeight="1">
      <c r="B18" s="19" t="s">
        <v>53</v>
      </c>
      <c r="C18" s="20" t="s">
        <v>54</v>
      </c>
      <c r="D18" s="21" t="s">
        <v>131</v>
      </c>
      <c r="E18" s="21" t="s">
        <v>55</v>
      </c>
      <c r="F18" s="21" t="s">
        <v>132</v>
      </c>
      <c r="G18" s="21" t="s">
        <v>133</v>
      </c>
      <c r="H18" s="22" t="s">
        <v>134</v>
      </c>
    </row>
    <row r="19" spans="2:8" ht="33" customHeight="1">
      <c r="B19" s="19" t="s">
        <v>56</v>
      </c>
      <c r="C19" s="20" t="s">
        <v>57</v>
      </c>
      <c r="D19" s="21" t="s">
        <v>135</v>
      </c>
      <c r="E19" s="21" t="s">
        <v>58</v>
      </c>
      <c r="F19" s="21" t="s">
        <v>136</v>
      </c>
      <c r="G19" s="21" t="s">
        <v>137</v>
      </c>
      <c r="H19" s="22" t="s">
        <v>138</v>
      </c>
    </row>
    <row r="20" spans="2:8" ht="46.5" customHeight="1">
      <c r="B20" s="19" t="s">
        <v>59</v>
      </c>
      <c r="C20" s="20" t="s">
        <v>60</v>
      </c>
      <c r="D20" s="21" t="s">
        <v>139</v>
      </c>
      <c r="E20" s="21" t="s">
        <v>61</v>
      </c>
      <c r="F20" s="21" t="s">
        <v>140</v>
      </c>
      <c r="G20" s="21" t="s">
        <v>141</v>
      </c>
      <c r="H20" s="22" t="s">
        <v>142</v>
      </c>
    </row>
    <row r="21" spans="2:8" ht="46.5" customHeight="1">
      <c r="B21" s="19" t="s">
        <v>62</v>
      </c>
      <c r="C21" s="20" t="s">
        <v>63</v>
      </c>
      <c r="D21" s="21" t="s">
        <v>143</v>
      </c>
      <c r="E21" s="21" t="s">
        <v>64</v>
      </c>
      <c r="F21" s="21" t="s">
        <v>144</v>
      </c>
      <c r="G21" s="21" t="s">
        <v>145</v>
      </c>
      <c r="H21" s="22" t="s">
        <v>146</v>
      </c>
    </row>
    <row r="22" spans="2:8" ht="33" customHeight="1">
      <c r="B22" s="19" t="s">
        <v>65</v>
      </c>
      <c r="C22" s="20" t="s">
        <v>66</v>
      </c>
      <c r="D22" s="21" t="s">
        <v>147</v>
      </c>
      <c r="E22" s="21" t="s">
        <v>67</v>
      </c>
      <c r="F22" s="21" t="s">
        <v>148</v>
      </c>
      <c r="G22" s="21" t="s">
        <v>149</v>
      </c>
      <c r="H22" s="22" t="s">
        <v>150</v>
      </c>
    </row>
    <row r="23" spans="2:8" ht="33" customHeight="1">
      <c r="B23" s="19" t="s">
        <v>68</v>
      </c>
      <c r="C23" s="20" t="s">
        <v>69</v>
      </c>
      <c r="D23" s="21" t="s">
        <v>151</v>
      </c>
      <c r="E23" s="21" t="s">
        <v>70</v>
      </c>
      <c r="F23" s="21" t="s">
        <v>152</v>
      </c>
      <c r="G23" s="21" t="s">
        <v>153</v>
      </c>
      <c r="H23" s="22" t="s">
        <v>154</v>
      </c>
    </row>
    <row r="24" spans="2:8" ht="33" customHeight="1">
      <c r="B24" s="19" t="s">
        <v>71</v>
      </c>
      <c r="C24" s="20" t="s">
        <v>72</v>
      </c>
      <c r="D24" s="21" t="s">
        <v>155</v>
      </c>
      <c r="E24" s="21" t="s">
        <v>73</v>
      </c>
      <c r="F24" s="21" t="s">
        <v>156</v>
      </c>
      <c r="G24" s="21" t="s">
        <v>157</v>
      </c>
      <c r="H24" s="22" t="s">
        <v>158</v>
      </c>
    </row>
    <row r="25" spans="2:8" ht="46.5" customHeight="1">
      <c r="B25" s="19" t="s">
        <v>74</v>
      </c>
      <c r="C25" s="20" t="s">
        <v>75</v>
      </c>
      <c r="D25" s="21" t="s">
        <v>159</v>
      </c>
      <c r="E25" s="21" t="s">
        <v>76</v>
      </c>
      <c r="F25" s="21" t="s">
        <v>160</v>
      </c>
      <c r="G25" s="21" t="s">
        <v>161</v>
      </c>
      <c r="H25" s="22" t="s">
        <v>162</v>
      </c>
    </row>
    <row r="26" spans="2:8" ht="33" customHeight="1">
      <c r="B26" s="19" t="s">
        <v>77</v>
      </c>
      <c r="C26" s="20" t="s">
        <v>78</v>
      </c>
      <c r="D26" s="21" t="s">
        <v>163</v>
      </c>
      <c r="E26" s="21" t="s">
        <v>79</v>
      </c>
      <c r="F26" s="21" t="s">
        <v>164</v>
      </c>
      <c r="G26" s="21" t="s">
        <v>165</v>
      </c>
      <c r="H26" s="22" t="s">
        <v>166</v>
      </c>
    </row>
    <row r="27" spans="2:8" ht="33" customHeight="1">
      <c r="B27" s="19" t="s">
        <v>80</v>
      </c>
      <c r="C27" s="20" t="s">
        <v>81</v>
      </c>
      <c r="D27" s="21" t="s">
        <v>167</v>
      </c>
      <c r="E27" s="21" t="s">
        <v>82</v>
      </c>
      <c r="F27" s="21" t="s">
        <v>168</v>
      </c>
      <c r="G27" s="21" t="s">
        <v>169</v>
      </c>
      <c r="H27" s="22" t="s">
        <v>170</v>
      </c>
    </row>
  </sheetData>
  <autoFilter ref="B7:H27"/>
  <hyperlinks>
    <hyperlink ref="I1" location="'Capa'!A1" display="← Capa"/>
    <hyperlink ref="H8" location="'01 Colunas'!A1" display="01 Colunas"/>
    <hyperlink ref="H9" location="'02 Barras horizontais'!A1" display="02 Barras horizontais"/>
    <hyperlink ref="H10" location="'03 Colunas agrupadas'!A1" display="03 Colunas agrupadas"/>
    <hyperlink ref="H11" location="'04 Colunas empilhadas'!A1" display="04 Colunas empilhadas"/>
    <hyperlink ref="H12" location="'05 Empilhadas 100%'!A1" display="05 Empilhadas 100%"/>
    <hyperlink ref="H13" location="'06 Linhas'!A1" display="06 Linhas"/>
    <hyperlink ref="H14" location="'07 Área'!A1" display="07 Área"/>
    <hyperlink ref="H15" location="'08 Pizza'!A1" display="08 Pizza"/>
    <hyperlink ref="H16" location="'09 Rosca'!A1" display="09 Rosca"/>
    <hyperlink ref="H17" location="'10 Dispersão'!A1" display="10 Dispersão"/>
    <hyperlink ref="H18" location="'11 Bolhas'!A1" display="11 Bolhas"/>
    <hyperlink ref="H19" location="'12 Radar'!A1" display="12 Radar"/>
    <hyperlink ref="H20" location="'13 Histograma'!A1" display="13 Histograma"/>
    <hyperlink ref="H21" location="'14 Cascata'!A1" display="14 Cascata"/>
    <hyperlink ref="H22" location="'15 Gantt'!A1" display="15 Gantt"/>
    <hyperlink ref="H23" location="'16 Slopegraph'!A1" display="16 Slopegraph"/>
    <hyperlink ref="H24" location="'17 Barras divergentes'!A1" display="17 Barras divergentes"/>
    <hyperlink ref="H25" location="'18 Mapa de calor'!A1" display="18 Mapa de calor"/>
    <hyperlink ref="H26" location="'19 Pareto'!A1" display="19 Pareto"/>
    <hyperlink ref="H27" location="'20 Linhas indexadas'!A1" display="20 Linhas indexadas"/>
  </hyperlinks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6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172</v>
      </c>
    </row>
    <row r="5" spans="2:17">
      <c r="B5" s="18" t="s">
        <v>25</v>
      </c>
    </row>
    <row r="6" spans="2:17">
      <c r="B6" s="23" t="s">
        <v>173</v>
      </c>
    </row>
    <row r="8" spans="2:17">
      <c r="B8" s="8" t="s">
        <v>174</v>
      </c>
      <c r="C8" s="24" t="s">
        <v>180</v>
      </c>
    </row>
    <row r="9" spans="2:17">
      <c r="B9" s="11" t="s">
        <v>175</v>
      </c>
      <c r="C9" s="25">
        <v>4200</v>
      </c>
    </row>
    <row r="10" spans="2:17">
      <c r="B10" s="11" t="s">
        <v>176</v>
      </c>
      <c r="C10" s="25">
        <v>5850</v>
      </c>
    </row>
    <row r="11" spans="2:17">
      <c r="B11" s="11" t="s">
        <v>177</v>
      </c>
      <c r="C11" s="25">
        <v>3900</v>
      </c>
    </row>
    <row r="12" spans="2:17">
      <c r="B12" s="11" t="s">
        <v>178</v>
      </c>
      <c r="C12" s="25">
        <v>9700</v>
      </c>
    </row>
    <row r="13" spans="2:17">
      <c r="B13" s="11" t="s">
        <v>179</v>
      </c>
      <c r="C13" s="25">
        <v>6400</v>
      </c>
    </row>
    <row r="15" spans="2:17">
      <c r="B15" s="26" t="s">
        <v>91</v>
      </c>
    </row>
    <row r="16" spans="2:17" ht="33" customHeight="1">
      <c r="B16" s="27" t="s">
        <v>94</v>
      </c>
      <c r="C16" s="27"/>
      <c r="D16" s="27"/>
      <c r="E16" s="27"/>
      <c r="F16" s="27"/>
      <c r="G16" s="27"/>
      <c r="H16" s="27"/>
      <c r="I16" s="27"/>
    </row>
    <row r="17" spans="2:17">
      <c r="B17" s="28" t="s">
        <v>92</v>
      </c>
    </row>
    <row r="18" spans="2:17" ht="33" customHeight="1">
      <c r="B18" s="27" t="s">
        <v>95</v>
      </c>
      <c r="C18" s="27"/>
      <c r="D18" s="27"/>
      <c r="E18" s="27"/>
      <c r="F18" s="27"/>
      <c r="G18" s="27"/>
      <c r="H18" s="27"/>
      <c r="I18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182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184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185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186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187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188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189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190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191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192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193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194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195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31" customHeight="1">
      <c r="B45" s="30" t="s">
        <v>196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197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198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199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200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201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202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203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204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31" customHeight="1">
      <c r="B54" s="30" t="s">
        <v>205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31" customHeight="1">
      <c r="B55" s="30" t="s">
        <v>206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207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</sheetData>
  <mergeCells count="29">
    <mergeCell ref="B16:I16"/>
    <mergeCell ref="B18:I18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9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208</v>
      </c>
    </row>
    <row r="5" spans="2:17">
      <c r="B5" s="18" t="s">
        <v>28</v>
      </c>
    </row>
    <row r="6" spans="2:17">
      <c r="B6" s="23" t="s">
        <v>173</v>
      </c>
    </row>
    <row r="8" spans="2:17">
      <c r="B8" s="8" t="s">
        <v>209</v>
      </c>
      <c r="C8" s="24" t="s">
        <v>217</v>
      </c>
    </row>
    <row r="9" spans="2:17">
      <c r="B9" s="11" t="s">
        <v>210</v>
      </c>
      <c r="C9" s="25">
        <v>3150</v>
      </c>
    </row>
    <row r="10" spans="2:17">
      <c r="B10" s="11" t="s">
        <v>211</v>
      </c>
      <c r="C10" s="25">
        <v>1240</v>
      </c>
    </row>
    <row r="11" spans="2:17">
      <c r="B11" s="11" t="s">
        <v>212</v>
      </c>
      <c r="C11" s="25">
        <v>980</v>
      </c>
    </row>
    <row r="12" spans="2:17">
      <c r="B12" s="11" t="s">
        <v>213</v>
      </c>
      <c r="C12" s="25">
        <v>760</v>
      </c>
    </row>
    <row r="13" spans="2:17">
      <c r="B13" s="11" t="s">
        <v>214</v>
      </c>
      <c r="C13" s="25">
        <v>640</v>
      </c>
    </row>
    <row r="14" spans="2:17">
      <c r="B14" s="11" t="s">
        <v>215</v>
      </c>
      <c r="C14" s="25">
        <v>310</v>
      </c>
    </row>
    <row r="15" spans="2:17">
      <c r="B15" s="11" t="s">
        <v>216</v>
      </c>
      <c r="C15" s="25">
        <v>220</v>
      </c>
    </row>
    <row r="17" spans="2:17">
      <c r="B17" s="26" t="s">
        <v>91</v>
      </c>
    </row>
    <row r="18" spans="2:17" ht="33" customHeight="1">
      <c r="B18" s="27" t="s">
        <v>98</v>
      </c>
      <c r="C18" s="27"/>
      <c r="D18" s="27"/>
      <c r="E18" s="27"/>
      <c r="F18" s="27"/>
      <c r="G18" s="27"/>
      <c r="H18" s="27"/>
      <c r="I18" s="27"/>
    </row>
    <row r="19" spans="2:17">
      <c r="B19" s="28" t="s">
        <v>92</v>
      </c>
    </row>
    <row r="20" spans="2:17" ht="19" customHeight="1">
      <c r="B20" s="27" t="s">
        <v>99</v>
      </c>
      <c r="C20" s="27"/>
      <c r="D20" s="27"/>
      <c r="E20" s="27"/>
      <c r="F20" s="27"/>
      <c r="G20" s="27"/>
      <c r="H20" s="27"/>
      <c r="I20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218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219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185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220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221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222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223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224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225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226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191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227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228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229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230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195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31" customHeight="1">
      <c r="B48" s="30" t="s">
        <v>196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200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202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203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204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31" customHeight="1">
      <c r="B57" s="30" t="s">
        <v>231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45" customHeight="1">
      <c r="B58" s="30" t="s">
        <v>232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207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</sheetData>
  <mergeCells count="32">
    <mergeCell ref="B18:I18"/>
    <mergeCell ref="B20:I20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6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233</v>
      </c>
    </row>
    <row r="5" spans="2:17">
      <c r="B5" s="18" t="s">
        <v>31</v>
      </c>
    </row>
    <row r="6" spans="2:17">
      <c r="B6" s="23" t="s">
        <v>173</v>
      </c>
    </row>
    <row r="8" spans="2:17">
      <c r="B8" s="8" t="s">
        <v>234</v>
      </c>
      <c r="C8" s="24" t="s">
        <v>239</v>
      </c>
      <c r="D8" s="24" t="s">
        <v>240</v>
      </c>
    </row>
    <row r="9" spans="2:17">
      <c r="B9" s="11" t="s">
        <v>235</v>
      </c>
      <c r="C9" s="25">
        <v>1800</v>
      </c>
      <c r="D9" s="25">
        <v>1720</v>
      </c>
    </row>
    <row r="10" spans="2:17">
      <c r="B10" s="11" t="s">
        <v>236</v>
      </c>
      <c r="C10" s="25">
        <v>2000</v>
      </c>
      <c r="D10" s="25">
        <v>2090</v>
      </c>
    </row>
    <row r="11" spans="2:17">
      <c r="B11" s="11" t="s">
        <v>237</v>
      </c>
      <c r="C11" s="25">
        <v>2150</v>
      </c>
      <c r="D11" s="25">
        <v>1980</v>
      </c>
    </row>
    <row r="12" spans="2:17">
      <c r="B12" s="11" t="s">
        <v>238</v>
      </c>
      <c r="C12" s="25">
        <v>2400</v>
      </c>
      <c r="D12" s="25">
        <v>2510</v>
      </c>
    </row>
    <row r="14" spans="2:17">
      <c r="B14" s="26" t="s">
        <v>91</v>
      </c>
    </row>
    <row r="15" spans="2:17" ht="33" customHeight="1">
      <c r="B15" s="27" t="s">
        <v>101</v>
      </c>
      <c r="C15" s="27"/>
      <c r="D15" s="27"/>
      <c r="E15" s="27"/>
      <c r="F15" s="27"/>
      <c r="G15" s="27"/>
      <c r="H15" s="27"/>
      <c r="I15" s="27"/>
    </row>
    <row r="16" spans="2:17">
      <c r="B16" s="28" t="s">
        <v>92</v>
      </c>
    </row>
    <row r="17" spans="2:17" ht="33" customHeight="1">
      <c r="B17" s="27" t="s">
        <v>102</v>
      </c>
      <c r="C17" s="27"/>
      <c r="D17" s="27"/>
      <c r="E17" s="27"/>
      <c r="F17" s="27"/>
      <c r="G17" s="27"/>
      <c r="H17" s="27"/>
      <c r="I17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241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242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244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245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246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247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191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248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249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250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251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195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31" customHeight="1">
      <c r="B45" s="30" t="s">
        <v>196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197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198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199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200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201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202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203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204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31" customHeight="1">
      <c r="B54" s="30" t="s">
        <v>252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31" customHeight="1">
      <c r="B55" s="30" t="s">
        <v>206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207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</sheetData>
  <mergeCells count="29">
    <mergeCell ref="B15:I15"/>
    <mergeCell ref="B17:I17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6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253</v>
      </c>
    </row>
    <row r="5" spans="2:17">
      <c r="B5" s="18" t="s">
        <v>34</v>
      </c>
    </row>
    <row r="6" spans="2:17">
      <c r="B6" s="23" t="s">
        <v>173</v>
      </c>
    </row>
    <row r="8" spans="2:17">
      <c r="B8" s="8" t="s">
        <v>234</v>
      </c>
      <c r="C8" s="24" t="s">
        <v>254</v>
      </c>
      <c r="D8" s="24" t="s">
        <v>255</v>
      </c>
      <c r="E8" s="24" t="s">
        <v>256</v>
      </c>
    </row>
    <row r="9" spans="2:17">
      <c r="B9" s="11" t="s">
        <v>235</v>
      </c>
      <c r="C9" s="25">
        <v>2100</v>
      </c>
      <c r="D9" s="25">
        <v>1200</v>
      </c>
      <c r="E9" s="25">
        <v>900</v>
      </c>
    </row>
    <row r="10" spans="2:17">
      <c r="B10" s="11" t="s">
        <v>236</v>
      </c>
      <c r="C10" s="25">
        <v>2050</v>
      </c>
      <c r="D10" s="25">
        <v>1450</v>
      </c>
      <c r="E10" s="25">
        <v>950</v>
      </c>
    </row>
    <row r="11" spans="2:17">
      <c r="B11" s="11" t="s">
        <v>237</v>
      </c>
      <c r="C11" s="25">
        <v>2200</v>
      </c>
      <c r="D11" s="25">
        <v>1700</v>
      </c>
      <c r="E11" s="25">
        <v>1000</v>
      </c>
    </row>
    <row r="12" spans="2:17">
      <c r="B12" s="11" t="s">
        <v>238</v>
      </c>
      <c r="C12" s="25">
        <v>2600</v>
      </c>
      <c r="D12" s="25">
        <v>2050</v>
      </c>
      <c r="E12" s="25">
        <v>1150</v>
      </c>
    </row>
    <row r="14" spans="2:17">
      <c r="B14" s="26" t="s">
        <v>91</v>
      </c>
    </row>
    <row r="15" spans="2:17" ht="33" customHeight="1">
      <c r="B15" s="27" t="s">
        <v>105</v>
      </c>
      <c r="C15" s="27"/>
      <c r="D15" s="27"/>
      <c r="E15" s="27"/>
      <c r="F15" s="27"/>
      <c r="G15" s="27"/>
      <c r="H15" s="27"/>
      <c r="I15" s="27"/>
    </row>
    <row r="16" spans="2:17">
      <c r="B16" s="28" t="s">
        <v>92</v>
      </c>
    </row>
    <row r="17" spans="2:17" ht="19" customHeight="1">
      <c r="B17" s="27" t="s">
        <v>106</v>
      </c>
      <c r="C17" s="27"/>
      <c r="D17" s="27"/>
      <c r="E17" s="27"/>
      <c r="F17" s="27"/>
      <c r="G17" s="27"/>
      <c r="H17" s="27"/>
      <c r="I17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257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258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259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260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261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262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263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191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264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250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265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266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195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31" customHeight="1">
      <c r="B45" s="30" t="s">
        <v>196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197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198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199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200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201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202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203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204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31" customHeight="1">
      <c r="B54" s="30" t="s">
        <v>267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31" customHeight="1">
      <c r="B55" s="30" t="s">
        <v>206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207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</sheetData>
  <mergeCells count="29">
    <mergeCell ref="B15:I15"/>
    <mergeCell ref="B17:I17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7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268</v>
      </c>
    </row>
    <row r="5" spans="2:17">
      <c r="B5" s="18" t="s">
        <v>37</v>
      </c>
    </row>
    <row r="6" spans="2:17">
      <c r="B6" s="23" t="s">
        <v>173</v>
      </c>
    </row>
    <row r="8" spans="2:17">
      <c r="B8" s="8" t="s">
        <v>269</v>
      </c>
      <c r="C8" s="24" t="s">
        <v>254</v>
      </c>
      <c r="D8" s="24" t="s">
        <v>255</v>
      </c>
      <c r="E8" s="24" t="s">
        <v>256</v>
      </c>
      <c r="F8" s="24" t="s">
        <v>274</v>
      </c>
      <c r="G8" s="24" t="s">
        <v>275</v>
      </c>
      <c r="H8" s="24" t="s">
        <v>276</v>
      </c>
      <c r="I8" s="24" t="s">
        <v>277</v>
      </c>
    </row>
    <row r="9" spans="2:17">
      <c r="B9" s="11" t="s">
        <v>270</v>
      </c>
      <c r="C9" s="25">
        <v>6960</v>
      </c>
      <c r="D9" s="25">
        <v>2640</v>
      </c>
      <c r="E9" s="25">
        <v>2400</v>
      </c>
      <c r="F9" s="31">
        <f>SUM(C9:E9)</f>
        <v>12000</v>
      </c>
      <c r="G9" s="32">
        <f>C9/F9</f>
        <v>0.58</v>
      </c>
      <c r="H9" s="32">
        <f>D9/F9</f>
        <v>0.22</v>
      </c>
      <c r="I9" s="32">
        <f>E9/F9</f>
        <v>0.2</v>
      </c>
    </row>
    <row r="10" spans="2:17">
      <c r="B10" s="11" t="s">
        <v>271</v>
      </c>
      <c r="C10" s="25">
        <v>6760</v>
      </c>
      <c r="D10" s="25">
        <v>3640</v>
      </c>
      <c r="E10" s="25">
        <v>2600</v>
      </c>
      <c r="F10" s="31">
        <f>SUM(C10:E10)</f>
        <v>13000</v>
      </c>
      <c r="G10" s="32">
        <f>C10/F10</f>
        <v>0.52</v>
      </c>
      <c r="H10" s="32">
        <f>D10/F10</f>
        <v>0.28</v>
      </c>
      <c r="I10" s="32">
        <f>E10/F10</f>
        <v>0.2</v>
      </c>
    </row>
    <row r="11" spans="2:17">
      <c r="B11" s="11" t="s">
        <v>272</v>
      </c>
      <c r="C11" s="25">
        <v>6580</v>
      </c>
      <c r="D11" s="25">
        <v>4620</v>
      </c>
      <c r="E11" s="25">
        <v>2800</v>
      </c>
      <c r="F11" s="31">
        <f>SUM(C11:E11)</f>
        <v>14000</v>
      </c>
      <c r="G11" s="32">
        <f>C11/F11</f>
        <v>0.47</v>
      </c>
      <c r="H11" s="32">
        <f>D11/F11</f>
        <v>0.33</v>
      </c>
      <c r="I11" s="32">
        <f>E11/F11</f>
        <v>0.2</v>
      </c>
    </row>
    <row r="12" spans="2:17">
      <c r="B12" s="11" t="s">
        <v>273</v>
      </c>
      <c r="C12" s="25">
        <v>6150</v>
      </c>
      <c r="D12" s="25">
        <v>5700</v>
      </c>
      <c r="E12" s="25">
        <v>3150</v>
      </c>
      <c r="F12" s="31">
        <f>SUM(C12:E12)</f>
        <v>15000</v>
      </c>
      <c r="G12" s="32">
        <f>C12/F12</f>
        <v>0.41</v>
      </c>
      <c r="H12" s="32">
        <f>D12/F12</f>
        <v>0.38</v>
      </c>
      <c r="I12" s="32">
        <f>E12/F12</f>
        <v>0.21</v>
      </c>
    </row>
    <row r="14" spans="2:17">
      <c r="B14" s="26" t="s">
        <v>91</v>
      </c>
    </row>
    <row r="15" spans="2:17" ht="19" customHeight="1">
      <c r="B15" s="27" t="s">
        <v>109</v>
      </c>
      <c r="C15" s="27"/>
      <c r="D15" s="27"/>
      <c r="E15" s="27"/>
      <c r="F15" s="27"/>
      <c r="G15" s="27"/>
      <c r="H15" s="27"/>
      <c r="I15" s="27"/>
    </row>
    <row r="16" spans="2:17">
      <c r="B16" s="28" t="s">
        <v>92</v>
      </c>
    </row>
    <row r="17" spans="2:17" ht="19" customHeight="1">
      <c r="B17" s="27" t="s">
        <v>110</v>
      </c>
      <c r="C17" s="27"/>
      <c r="D17" s="27"/>
      <c r="E17" s="27"/>
      <c r="F17" s="27"/>
      <c r="G17" s="27"/>
      <c r="H17" s="27"/>
      <c r="I17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278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279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280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281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282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283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284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191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285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286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287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288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266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195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31" customHeight="1">
      <c r="B46" s="30" t="s">
        <v>196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197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198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199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200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201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202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203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204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31" customHeight="1">
      <c r="B55" s="30" t="s">
        <v>289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31" customHeight="1">
      <c r="B56" s="30" t="s">
        <v>206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207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</sheetData>
  <mergeCells count="30">
    <mergeCell ref="B15:I15"/>
    <mergeCell ref="B17:I17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4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290</v>
      </c>
    </row>
    <row r="5" spans="2:17">
      <c r="B5" s="18" t="s">
        <v>40</v>
      </c>
    </row>
    <row r="6" spans="2:17">
      <c r="B6" s="23" t="s">
        <v>173</v>
      </c>
    </row>
    <row r="8" spans="2:17">
      <c r="B8" s="8" t="s">
        <v>291</v>
      </c>
      <c r="C8" s="24" t="s">
        <v>304</v>
      </c>
      <c r="D8" s="24" t="s">
        <v>305</v>
      </c>
    </row>
    <row r="9" spans="2:17">
      <c r="B9" s="11" t="s">
        <v>292</v>
      </c>
      <c r="C9" s="25">
        <v>3200</v>
      </c>
      <c r="D9" s="25">
        <v>2500</v>
      </c>
    </row>
    <row r="10" spans="2:17">
      <c r="B10" s="11" t="s">
        <v>293</v>
      </c>
      <c r="C10" s="25">
        <v>2950</v>
      </c>
      <c r="D10" s="25">
        <v>2500</v>
      </c>
    </row>
    <row r="11" spans="2:17">
      <c r="B11" s="11" t="s">
        <v>294</v>
      </c>
      <c r="C11" s="25">
        <v>2700</v>
      </c>
      <c r="D11" s="25">
        <v>2500</v>
      </c>
    </row>
    <row r="12" spans="2:17">
      <c r="B12" s="11" t="s">
        <v>295</v>
      </c>
      <c r="C12" s="25">
        <v>2850</v>
      </c>
      <c r="D12" s="25">
        <v>2500</v>
      </c>
    </row>
    <row r="13" spans="2:17">
      <c r="B13" s="11" t="s">
        <v>296</v>
      </c>
      <c r="C13" s="25">
        <v>3100</v>
      </c>
      <c r="D13" s="25">
        <v>2500</v>
      </c>
    </row>
    <row r="14" spans="2:17">
      <c r="B14" s="11" t="s">
        <v>297</v>
      </c>
      <c r="C14" s="25">
        <v>2600</v>
      </c>
      <c r="D14" s="25">
        <v>2500</v>
      </c>
    </row>
    <row r="15" spans="2:17">
      <c r="B15" s="11" t="s">
        <v>298</v>
      </c>
      <c r="C15" s="25">
        <v>2400</v>
      </c>
      <c r="D15" s="25">
        <v>2500</v>
      </c>
    </row>
    <row r="16" spans="2:17">
      <c r="B16" s="11" t="s">
        <v>299</v>
      </c>
      <c r="C16" s="25">
        <v>2750</v>
      </c>
      <c r="D16" s="25">
        <v>2500</v>
      </c>
    </row>
    <row r="17" spans="2:17">
      <c r="B17" s="11" t="s">
        <v>300</v>
      </c>
      <c r="C17" s="25">
        <v>3050</v>
      </c>
      <c r="D17" s="25">
        <v>2500</v>
      </c>
    </row>
    <row r="18" spans="2:17">
      <c r="B18" s="11" t="s">
        <v>301</v>
      </c>
      <c r="C18" s="25">
        <v>3400</v>
      </c>
      <c r="D18" s="25">
        <v>2500</v>
      </c>
    </row>
    <row r="19" spans="2:17">
      <c r="B19" s="11" t="s">
        <v>302</v>
      </c>
      <c r="C19" s="25">
        <v>3300</v>
      </c>
      <c r="D19" s="25">
        <v>2500</v>
      </c>
    </row>
    <row r="20" spans="2:17">
      <c r="B20" s="11" t="s">
        <v>303</v>
      </c>
      <c r="C20" s="25">
        <v>3900</v>
      </c>
      <c r="D20" s="25">
        <v>2500</v>
      </c>
    </row>
    <row r="22" spans="2:17">
      <c r="B22" s="26" t="s">
        <v>91</v>
      </c>
    </row>
    <row r="23" spans="2:17" ht="33" customHeight="1">
      <c r="B23" s="27" t="s">
        <v>113</v>
      </c>
      <c r="C23" s="27"/>
      <c r="D23" s="27"/>
      <c r="E23" s="27"/>
      <c r="F23" s="27"/>
      <c r="G23" s="27"/>
      <c r="H23" s="27"/>
      <c r="I23" s="27"/>
    </row>
    <row r="24" spans="2:17">
      <c r="B24" s="28" t="s">
        <v>92</v>
      </c>
    </row>
    <row r="25" spans="2:17" ht="19" customHeight="1">
      <c r="B25" s="27" t="s">
        <v>114</v>
      </c>
      <c r="C25" s="27"/>
      <c r="D25" s="27"/>
      <c r="E25" s="27"/>
      <c r="F25" s="27"/>
      <c r="G25" s="27"/>
      <c r="H25" s="27"/>
      <c r="I25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306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307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308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309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310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311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312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313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314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315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316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317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318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319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320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321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322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323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195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31" customHeight="1">
      <c r="B53" s="30" t="s">
        <v>196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197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198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199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201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202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17" customHeight="1">
      <c r="B60" s="30" t="s">
        <v>203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17" customHeight="1">
      <c r="B61" s="30" t="s">
        <v>204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2:17" ht="31" customHeight="1">
      <c r="B62" s="30" t="s">
        <v>324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2:17" ht="31" customHeight="1">
      <c r="B63" s="30" t="s">
        <v>206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2:17" ht="17" customHeight="1">
      <c r="B64" s="30" t="s">
        <v>207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</sheetData>
  <mergeCells count="37">
    <mergeCell ref="B23:I23"/>
    <mergeCell ref="B25:I25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  <mergeCell ref="B62:Q62"/>
    <mergeCell ref="B63:Q63"/>
    <mergeCell ref="B64:Q64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3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325</v>
      </c>
    </row>
    <row r="5" spans="2:17">
      <c r="B5" s="18" t="s">
        <v>43</v>
      </c>
    </row>
    <row r="6" spans="2:17">
      <c r="B6" s="23" t="s">
        <v>173</v>
      </c>
    </row>
    <row r="8" spans="2:17">
      <c r="B8" s="8" t="s">
        <v>291</v>
      </c>
      <c r="C8" s="24" t="s">
        <v>326</v>
      </c>
    </row>
    <row r="9" spans="2:17">
      <c r="B9" s="11" t="s">
        <v>292</v>
      </c>
      <c r="C9" s="25">
        <v>820</v>
      </c>
    </row>
    <row r="10" spans="2:17">
      <c r="B10" s="11" t="s">
        <v>293</v>
      </c>
      <c r="C10" s="25">
        <v>845</v>
      </c>
    </row>
    <row r="11" spans="2:17">
      <c r="B11" s="11" t="s">
        <v>294</v>
      </c>
      <c r="C11" s="25">
        <v>870</v>
      </c>
    </row>
    <row r="12" spans="2:17">
      <c r="B12" s="11" t="s">
        <v>295</v>
      </c>
      <c r="C12" s="25">
        <v>910</v>
      </c>
    </row>
    <row r="13" spans="2:17">
      <c r="B13" s="11" t="s">
        <v>296</v>
      </c>
      <c r="C13" s="25">
        <v>935</v>
      </c>
    </row>
    <row r="14" spans="2:17">
      <c r="B14" s="11" t="s">
        <v>297</v>
      </c>
      <c r="C14" s="25">
        <v>960</v>
      </c>
    </row>
    <row r="15" spans="2:17">
      <c r="B15" s="11" t="s">
        <v>298</v>
      </c>
      <c r="C15" s="25">
        <v>1010</v>
      </c>
    </row>
    <row r="16" spans="2:17">
      <c r="B16" s="11" t="s">
        <v>299</v>
      </c>
      <c r="C16" s="25">
        <v>1050</v>
      </c>
    </row>
    <row r="17" spans="2:17">
      <c r="B17" s="11" t="s">
        <v>300</v>
      </c>
      <c r="C17" s="25">
        <v>1080</v>
      </c>
    </row>
    <row r="18" spans="2:17">
      <c r="B18" s="11" t="s">
        <v>301</v>
      </c>
      <c r="C18" s="25">
        <v>1130</v>
      </c>
    </row>
    <row r="19" spans="2:17">
      <c r="B19" s="11" t="s">
        <v>302</v>
      </c>
      <c r="C19" s="25">
        <v>1170</v>
      </c>
    </row>
    <row r="20" spans="2:17">
      <c r="B20" s="11" t="s">
        <v>303</v>
      </c>
      <c r="C20" s="25">
        <v>1230</v>
      </c>
    </row>
    <row r="22" spans="2:17">
      <c r="B22" s="26" t="s">
        <v>91</v>
      </c>
    </row>
    <row r="23" spans="2:17" ht="19" customHeight="1">
      <c r="B23" s="27" t="s">
        <v>117</v>
      </c>
      <c r="C23" s="27"/>
      <c r="D23" s="27"/>
      <c r="E23" s="27"/>
      <c r="F23" s="27"/>
      <c r="G23" s="27"/>
      <c r="H23" s="27"/>
      <c r="I23" s="27"/>
    </row>
    <row r="24" spans="2:17">
      <c r="B24" s="28" t="s">
        <v>92</v>
      </c>
    </row>
    <row r="25" spans="2:17" ht="19" customHeight="1">
      <c r="B25" s="27" t="s">
        <v>118</v>
      </c>
      <c r="C25" s="27"/>
      <c r="D25" s="27"/>
      <c r="E25" s="27"/>
      <c r="F25" s="27"/>
      <c r="G25" s="27"/>
      <c r="H25" s="27"/>
      <c r="I25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327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328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185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329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330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331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332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333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334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335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336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337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338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339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340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341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342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343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31" customHeight="1">
      <c r="B52" s="30" t="s">
        <v>196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197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198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199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201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202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203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17" customHeight="1">
      <c r="B60" s="30" t="s">
        <v>204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31" customHeight="1">
      <c r="B61" s="30" t="s">
        <v>344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2:17" ht="45" customHeight="1">
      <c r="B62" s="30" t="s">
        <v>345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2:17" ht="17" customHeight="1">
      <c r="B63" s="30" t="s">
        <v>207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</sheetData>
  <mergeCells count="36">
    <mergeCell ref="B23:I23"/>
    <mergeCell ref="B25:I25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  <mergeCell ref="B62:Q62"/>
    <mergeCell ref="B63:Q63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5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346</v>
      </c>
    </row>
    <row r="5" spans="2:17">
      <c r="B5" s="18" t="s">
        <v>46</v>
      </c>
    </row>
    <row r="6" spans="2:17">
      <c r="B6" s="23" t="s">
        <v>173</v>
      </c>
    </row>
    <row r="8" spans="2:17">
      <c r="B8" s="8" t="s">
        <v>347</v>
      </c>
      <c r="C8" s="24" t="s">
        <v>348</v>
      </c>
      <c r="D8" s="24" t="s">
        <v>349</v>
      </c>
    </row>
    <row r="9" spans="2:17">
      <c r="B9" s="11" t="s">
        <v>254</v>
      </c>
      <c r="C9" s="25">
        <v>6150</v>
      </c>
      <c r="D9" s="32">
        <f>C9/SUM($C$9:$C$11)</f>
        <v>0.41</v>
      </c>
    </row>
    <row r="10" spans="2:17">
      <c r="B10" s="11" t="s">
        <v>255</v>
      </c>
      <c r="C10" s="25">
        <v>5700</v>
      </c>
      <c r="D10" s="32">
        <f>C10/SUM($C$9:$C$11)</f>
        <v>0.38</v>
      </c>
    </row>
    <row r="11" spans="2:17">
      <c r="B11" s="11" t="s">
        <v>256</v>
      </c>
      <c r="C11" s="25">
        <v>3150</v>
      </c>
      <c r="D11" s="32">
        <f>C11/SUM($C$9:$C$11)</f>
        <v>0.21</v>
      </c>
    </row>
    <row r="12" spans="2:17">
      <c r="B12" s="33" t="s">
        <v>274</v>
      </c>
      <c r="C12" s="34">
        <f>SUM(C9:C11)</f>
        <v>15000</v>
      </c>
    </row>
    <row r="14" spans="2:17">
      <c r="B14" s="26" t="s">
        <v>91</v>
      </c>
    </row>
    <row r="15" spans="2:17" ht="19" customHeight="1">
      <c r="B15" s="27" t="s">
        <v>121</v>
      </c>
      <c r="C15" s="27"/>
      <c r="D15" s="27"/>
      <c r="E15" s="27"/>
      <c r="F15" s="27"/>
      <c r="G15" s="27"/>
      <c r="H15" s="27"/>
      <c r="I15" s="27"/>
    </row>
    <row r="16" spans="2:17">
      <c r="B16" s="28" t="s">
        <v>92</v>
      </c>
    </row>
    <row r="17" spans="2:17" ht="33" customHeight="1">
      <c r="B17" s="27" t="s">
        <v>122</v>
      </c>
      <c r="C17" s="27"/>
      <c r="D17" s="27"/>
      <c r="E17" s="27"/>
      <c r="F17" s="27"/>
      <c r="G17" s="27"/>
      <c r="H17" s="27"/>
      <c r="I17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350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351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352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353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354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355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191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356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357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358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195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31" customHeight="1">
      <c r="B44" s="30" t="s">
        <v>196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197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198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199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200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201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202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203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204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31" customHeight="1">
      <c r="B53" s="30" t="s">
        <v>359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45" customHeight="1">
      <c r="B54" s="30" t="s">
        <v>360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207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</sheetData>
  <mergeCells count="28">
    <mergeCell ref="B15:I15"/>
    <mergeCell ref="B17:I17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8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361</v>
      </c>
    </row>
    <row r="5" spans="2:17">
      <c r="B5" s="18" t="s">
        <v>49</v>
      </c>
    </row>
    <row r="6" spans="2:17">
      <c r="B6" s="23" t="s">
        <v>173</v>
      </c>
    </row>
    <row r="8" spans="2:17">
      <c r="B8" s="8" t="s">
        <v>362</v>
      </c>
      <c r="C8" s="24" t="s">
        <v>217</v>
      </c>
      <c r="D8" s="24" t="s">
        <v>349</v>
      </c>
    </row>
    <row r="9" spans="2:17">
      <c r="B9" s="11" t="s">
        <v>363</v>
      </c>
      <c r="C9" s="25">
        <v>4300</v>
      </c>
      <c r="D9" s="32">
        <f>C9/SUM($C$9:$C$13)</f>
        <v>0.5119047619047619</v>
      </c>
    </row>
    <row r="10" spans="2:17">
      <c r="B10" s="11" t="s">
        <v>364</v>
      </c>
      <c r="C10" s="25">
        <v>2100</v>
      </c>
      <c r="D10" s="32">
        <f>C10/SUM($C$9:$C$13)</f>
        <v>0.25</v>
      </c>
    </row>
    <row r="11" spans="2:17">
      <c r="B11" s="11" t="s">
        <v>365</v>
      </c>
      <c r="C11" s="25">
        <v>950</v>
      </c>
      <c r="D11" s="32">
        <f>C11/SUM($C$9:$C$13)</f>
        <v>0.1130952380952381</v>
      </c>
    </row>
    <row r="12" spans="2:17">
      <c r="B12" s="11" t="s">
        <v>366</v>
      </c>
      <c r="C12" s="25">
        <v>620</v>
      </c>
      <c r="D12" s="32">
        <f>C12/SUM($C$9:$C$13)</f>
        <v>0.07380952380952381</v>
      </c>
    </row>
    <row r="13" spans="2:17">
      <c r="B13" s="11" t="s">
        <v>367</v>
      </c>
      <c r="C13" s="25">
        <v>430</v>
      </c>
      <c r="D13" s="32">
        <f>C13/SUM($C$9:$C$13)</f>
        <v>0.05119047619047619</v>
      </c>
    </row>
    <row r="14" spans="2:17">
      <c r="B14" s="33" t="s">
        <v>274</v>
      </c>
      <c r="C14" s="34">
        <f>SUM(C9:C13)</f>
        <v>8400</v>
      </c>
    </row>
    <row r="16" spans="2:17">
      <c r="B16" s="26" t="s">
        <v>91</v>
      </c>
    </row>
    <row r="17" spans="2:17" ht="19" customHeight="1">
      <c r="B17" s="27" t="s">
        <v>124</v>
      </c>
      <c r="C17" s="27"/>
      <c r="D17" s="27"/>
      <c r="E17" s="27"/>
      <c r="F17" s="27"/>
      <c r="G17" s="27"/>
      <c r="H17" s="27"/>
      <c r="I17" s="27"/>
    </row>
    <row r="18" spans="2:17">
      <c r="B18" s="28" t="s">
        <v>92</v>
      </c>
    </row>
    <row r="19" spans="2:17" ht="19" customHeight="1">
      <c r="B19" s="27" t="s">
        <v>125</v>
      </c>
      <c r="C19" s="27"/>
      <c r="D19" s="27"/>
      <c r="E19" s="27"/>
      <c r="F19" s="27"/>
      <c r="G19" s="27"/>
      <c r="H19" s="27"/>
      <c r="I19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368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369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370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371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372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373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374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375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191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376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377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378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379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195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31" customHeight="1">
      <c r="B47" s="30" t="s">
        <v>196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197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198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199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200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201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202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203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204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31" customHeight="1">
      <c r="B56" s="30" t="s">
        <v>380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45" customHeight="1">
      <c r="B57" s="30" t="s">
        <v>381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207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</sheetData>
  <mergeCells count="31">
    <mergeCell ref="B17:I17"/>
    <mergeCell ref="B19:I19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4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382</v>
      </c>
    </row>
    <row r="5" spans="2:17">
      <c r="B5" s="18" t="s">
        <v>52</v>
      </c>
    </row>
    <row r="6" spans="2:17">
      <c r="B6" s="23" t="s">
        <v>173</v>
      </c>
    </row>
    <row r="8" spans="2:17">
      <c r="B8" s="8" t="s">
        <v>291</v>
      </c>
      <c r="C8" s="24" t="s">
        <v>383</v>
      </c>
      <c r="D8" s="24" t="s">
        <v>384</v>
      </c>
    </row>
    <row r="9" spans="2:17">
      <c r="B9" s="11" t="s">
        <v>292</v>
      </c>
      <c r="C9" s="25">
        <v>80</v>
      </c>
      <c r="D9" s="25">
        <v>410</v>
      </c>
    </row>
    <row r="10" spans="2:17">
      <c r="B10" s="11" t="s">
        <v>293</v>
      </c>
      <c r="C10" s="25">
        <v>95</v>
      </c>
      <c r="D10" s="25">
        <v>450</v>
      </c>
    </row>
    <row r="11" spans="2:17">
      <c r="B11" s="11" t="s">
        <v>294</v>
      </c>
      <c r="C11" s="25">
        <v>110</v>
      </c>
      <c r="D11" s="25">
        <v>520</v>
      </c>
    </row>
    <row r="12" spans="2:17">
      <c r="B12" s="11" t="s">
        <v>295</v>
      </c>
      <c r="C12" s="25">
        <v>105</v>
      </c>
      <c r="D12" s="25">
        <v>480</v>
      </c>
    </row>
    <row r="13" spans="2:17">
      <c r="B13" s="11" t="s">
        <v>296</v>
      </c>
      <c r="C13" s="25">
        <v>130</v>
      </c>
      <c r="D13" s="25">
        <v>590</v>
      </c>
    </row>
    <row r="14" spans="2:17">
      <c r="B14" s="11" t="s">
        <v>297</v>
      </c>
      <c r="C14" s="25">
        <v>150</v>
      </c>
      <c r="D14" s="25">
        <v>640</v>
      </c>
    </row>
    <row r="15" spans="2:17">
      <c r="B15" s="11" t="s">
        <v>298</v>
      </c>
      <c r="C15" s="25">
        <v>140</v>
      </c>
      <c r="D15" s="25">
        <v>600</v>
      </c>
    </row>
    <row r="16" spans="2:17">
      <c r="B16" s="11" t="s">
        <v>299</v>
      </c>
      <c r="C16" s="25">
        <v>165</v>
      </c>
      <c r="D16" s="25">
        <v>700</v>
      </c>
    </row>
    <row r="17" spans="2:17">
      <c r="B17" s="11" t="s">
        <v>300</v>
      </c>
      <c r="C17" s="25">
        <v>180</v>
      </c>
      <c r="D17" s="25">
        <v>760</v>
      </c>
    </row>
    <row r="18" spans="2:17">
      <c r="B18" s="11" t="s">
        <v>301</v>
      </c>
      <c r="C18" s="25">
        <v>175</v>
      </c>
      <c r="D18" s="25">
        <v>720</v>
      </c>
    </row>
    <row r="19" spans="2:17">
      <c r="B19" s="11" t="s">
        <v>302</v>
      </c>
      <c r="C19" s="25">
        <v>200</v>
      </c>
      <c r="D19" s="25">
        <v>820</v>
      </c>
    </row>
    <row r="20" spans="2:17">
      <c r="B20" s="11" t="s">
        <v>303</v>
      </c>
      <c r="C20" s="25">
        <v>220</v>
      </c>
      <c r="D20" s="25">
        <v>880</v>
      </c>
    </row>
    <row r="22" spans="2:17">
      <c r="B22" s="26" t="s">
        <v>91</v>
      </c>
    </row>
    <row r="23" spans="2:17" ht="33" customHeight="1">
      <c r="B23" s="27" t="s">
        <v>128</v>
      </c>
      <c r="C23" s="27"/>
      <c r="D23" s="27"/>
      <c r="E23" s="27"/>
      <c r="F23" s="27"/>
      <c r="G23" s="27"/>
      <c r="H23" s="27"/>
      <c r="I23" s="27"/>
    </row>
    <row r="24" spans="2:17">
      <c r="B24" s="28" t="s">
        <v>92</v>
      </c>
    </row>
    <row r="25" spans="2:17" ht="19" customHeight="1">
      <c r="B25" s="27" t="s">
        <v>129</v>
      </c>
      <c r="C25" s="27"/>
      <c r="D25" s="27"/>
      <c r="E25" s="27"/>
      <c r="F25" s="27"/>
      <c r="G25" s="27"/>
      <c r="H25" s="27"/>
      <c r="I25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385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386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387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388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389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390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391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392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393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394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395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396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397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398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399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400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401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402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195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31" customHeight="1">
      <c r="B53" s="30" t="s">
        <v>196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197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198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199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201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202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17" customHeight="1">
      <c r="B60" s="30" t="s">
        <v>203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17" customHeight="1">
      <c r="B61" s="30" t="s">
        <v>204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2:17" ht="31" customHeight="1">
      <c r="B62" s="30" t="s">
        <v>403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2:17" ht="45" customHeight="1">
      <c r="B63" s="30" t="s">
        <v>404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2:17" ht="17" customHeight="1">
      <c r="B64" s="30" t="s">
        <v>207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</sheetData>
  <mergeCells count="37">
    <mergeCell ref="B23:I23"/>
    <mergeCell ref="B25:I25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  <mergeCell ref="B62:Q62"/>
    <mergeCell ref="B63:Q63"/>
    <mergeCell ref="B64:Q64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9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405</v>
      </c>
    </row>
    <row r="5" spans="2:17">
      <c r="B5" s="18" t="s">
        <v>55</v>
      </c>
    </row>
    <row r="6" spans="2:17">
      <c r="B6" s="23" t="s">
        <v>173</v>
      </c>
    </row>
    <row r="8" spans="2:17">
      <c r="B8" s="8" t="s">
        <v>406</v>
      </c>
      <c r="C8" s="24" t="s">
        <v>413</v>
      </c>
      <c r="D8" s="24" t="s">
        <v>414</v>
      </c>
      <c r="E8" s="24" t="s">
        <v>415</v>
      </c>
    </row>
    <row r="9" spans="2:17">
      <c r="B9" s="11" t="s">
        <v>407</v>
      </c>
      <c r="C9" s="25">
        <v>9800</v>
      </c>
      <c r="D9" s="35">
        <v>0.14</v>
      </c>
      <c r="E9" s="25">
        <v>420</v>
      </c>
    </row>
    <row r="10" spans="2:17">
      <c r="B10" s="11" t="s">
        <v>408</v>
      </c>
      <c r="C10" s="25">
        <v>6200</v>
      </c>
      <c r="D10" s="35">
        <v>0.09</v>
      </c>
      <c r="E10" s="25">
        <v>160</v>
      </c>
    </row>
    <row r="11" spans="2:17">
      <c r="B11" s="11" t="s">
        <v>409</v>
      </c>
      <c r="C11" s="25">
        <v>5100</v>
      </c>
      <c r="D11" s="35">
        <v>0.18</v>
      </c>
      <c r="E11" s="25">
        <v>95</v>
      </c>
    </row>
    <row r="12" spans="2:17">
      <c r="B12" s="11" t="s">
        <v>410</v>
      </c>
      <c r="C12" s="25">
        <v>2400</v>
      </c>
      <c r="D12" s="35">
        <v>0.26</v>
      </c>
      <c r="E12" s="25">
        <v>110</v>
      </c>
    </row>
    <row r="13" spans="2:17">
      <c r="B13" s="11" t="s">
        <v>411</v>
      </c>
      <c r="C13" s="25">
        <v>1800</v>
      </c>
      <c r="D13" s="35">
        <v>0.31</v>
      </c>
      <c r="E13" s="25">
        <v>25</v>
      </c>
    </row>
    <row r="14" spans="2:17">
      <c r="B14" s="11" t="s">
        <v>412</v>
      </c>
      <c r="C14" s="25">
        <v>3300</v>
      </c>
      <c r="D14" s="35">
        <v>0.12</v>
      </c>
      <c r="E14" s="25">
        <v>60</v>
      </c>
    </row>
    <row r="16" spans="2:17">
      <c r="B16" s="26" t="s">
        <v>91</v>
      </c>
    </row>
    <row r="17" spans="2:17" ht="33" customHeight="1">
      <c r="B17" s="27" t="s">
        <v>132</v>
      </c>
      <c r="C17" s="27"/>
      <c r="D17" s="27"/>
      <c r="E17" s="27"/>
      <c r="F17" s="27"/>
      <c r="G17" s="27"/>
      <c r="H17" s="27"/>
      <c r="I17" s="27"/>
    </row>
    <row r="18" spans="2:17">
      <c r="B18" s="28" t="s">
        <v>92</v>
      </c>
    </row>
    <row r="19" spans="2:17" ht="19" customHeight="1">
      <c r="B19" s="27" t="s">
        <v>133</v>
      </c>
      <c r="C19" s="27"/>
      <c r="D19" s="27"/>
      <c r="E19" s="27"/>
      <c r="F19" s="27"/>
      <c r="G19" s="27"/>
      <c r="H19" s="27"/>
      <c r="I19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416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417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418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419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420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421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422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423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424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191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425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426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427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428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429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195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31" customHeight="1">
      <c r="B48" s="30" t="s">
        <v>196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200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202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203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204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31" customHeight="1">
      <c r="B57" s="30" t="s">
        <v>430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45" customHeight="1">
      <c r="B58" s="30" t="s">
        <v>431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207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</sheetData>
  <mergeCells count="32">
    <mergeCell ref="B17:I17"/>
    <mergeCell ref="B19:I19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9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432</v>
      </c>
    </row>
    <row r="5" spans="2:17">
      <c r="B5" s="18" t="s">
        <v>58</v>
      </c>
    </row>
    <row r="6" spans="2:17">
      <c r="B6" s="23" t="s">
        <v>173</v>
      </c>
    </row>
    <row r="8" spans="2:17">
      <c r="B8" s="8" t="s">
        <v>433</v>
      </c>
      <c r="C8" s="24" t="s">
        <v>440</v>
      </c>
      <c r="D8" s="24" t="s">
        <v>441</v>
      </c>
    </row>
    <row r="9" spans="2:17">
      <c r="B9" s="11" t="s">
        <v>434</v>
      </c>
      <c r="C9" s="36">
        <v>3.5</v>
      </c>
      <c r="D9" s="36">
        <v>4.5</v>
      </c>
    </row>
    <row r="10" spans="2:17">
      <c r="B10" s="11" t="s">
        <v>435</v>
      </c>
      <c r="C10" s="36">
        <v>2.5</v>
      </c>
      <c r="D10" s="36">
        <v>4</v>
      </c>
    </row>
    <row r="11" spans="2:17">
      <c r="B11" s="11" t="s">
        <v>436</v>
      </c>
      <c r="C11" s="36">
        <v>4</v>
      </c>
      <c r="D11" s="36">
        <v>4.5</v>
      </c>
    </row>
    <row r="12" spans="2:17">
      <c r="B12" s="11" t="s">
        <v>437</v>
      </c>
      <c r="C12" s="36">
        <v>3</v>
      </c>
      <c r="D12" s="36">
        <v>4</v>
      </c>
    </row>
    <row r="13" spans="2:17">
      <c r="B13" s="11" t="s">
        <v>438</v>
      </c>
      <c r="C13" s="36">
        <v>2</v>
      </c>
      <c r="D13" s="36">
        <v>4</v>
      </c>
    </row>
    <row r="14" spans="2:17">
      <c r="B14" s="11" t="s">
        <v>439</v>
      </c>
      <c r="C14" s="36">
        <v>1.5</v>
      </c>
      <c r="D14" s="36">
        <v>3.5</v>
      </c>
    </row>
    <row r="16" spans="2:17">
      <c r="B16" s="26" t="s">
        <v>91</v>
      </c>
    </row>
    <row r="17" spans="2:17" ht="19" customHeight="1">
      <c r="B17" s="27" t="s">
        <v>136</v>
      </c>
      <c r="C17" s="27"/>
      <c r="D17" s="27"/>
      <c r="E17" s="27"/>
      <c r="F17" s="27"/>
      <c r="G17" s="27"/>
      <c r="H17" s="27"/>
      <c r="I17" s="27"/>
    </row>
    <row r="18" spans="2:17">
      <c r="B18" s="28" t="s">
        <v>92</v>
      </c>
    </row>
    <row r="19" spans="2:17" ht="19" customHeight="1">
      <c r="B19" s="27" t="s">
        <v>137</v>
      </c>
      <c r="C19" s="27"/>
      <c r="D19" s="27"/>
      <c r="E19" s="27"/>
      <c r="F19" s="27"/>
      <c r="G19" s="27"/>
      <c r="H19" s="27"/>
      <c r="I19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442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443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444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445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446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447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448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449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450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191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451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452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453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454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455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195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31" customHeight="1">
      <c r="B48" s="30" t="s">
        <v>196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200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202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203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204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31" customHeight="1">
      <c r="B57" s="30" t="s">
        <v>456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45" customHeight="1">
      <c r="B58" s="30" t="s">
        <v>457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207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</sheetData>
  <mergeCells count="32">
    <mergeCell ref="B17:I17"/>
    <mergeCell ref="B19:I19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0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458</v>
      </c>
    </row>
    <row r="5" spans="2:17">
      <c r="B5" s="18" t="s">
        <v>61</v>
      </c>
    </row>
    <row r="6" spans="2:17">
      <c r="B6" s="23" t="s">
        <v>173</v>
      </c>
    </row>
    <row r="8" spans="2:17">
      <c r="B8" s="8" t="s">
        <v>459</v>
      </c>
      <c r="C8" s="24" t="s">
        <v>467</v>
      </c>
    </row>
    <row r="9" spans="2:17">
      <c r="B9" s="11" t="s">
        <v>460</v>
      </c>
      <c r="C9" s="25">
        <v>42</v>
      </c>
    </row>
    <row r="10" spans="2:17">
      <c r="B10" s="11" t="s">
        <v>461</v>
      </c>
      <c r="C10" s="25">
        <v>118</v>
      </c>
    </row>
    <row r="11" spans="2:17">
      <c r="B11" s="11" t="s">
        <v>462</v>
      </c>
      <c r="C11" s="25">
        <v>96</v>
      </c>
    </row>
    <row r="12" spans="2:17">
      <c r="B12" s="11" t="s">
        <v>463</v>
      </c>
      <c r="C12" s="25">
        <v>51</v>
      </c>
    </row>
    <row r="13" spans="2:17">
      <c r="B13" s="11" t="s">
        <v>464</v>
      </c>
      <c r="C13" s="25">
        <v>24</v>
      </c>
    </row>
    <row r="14" spans="2:17">
      <c r="B14" s="11" t="s">
        <v>465</v>
      </c>
      <c r="C14" s="25">
        <v>12</v>
      </c>
    </row>
    <row r="15" spans="2:17">
      <c r="B15" s="11" t="s">
        <v>466</v>
      </c>
      <c r="C15" s="25">
        <v>7</v>
      </c>
    </row>
    <row r="17" spans="2:17">
      <c r="B17" s="26" t="s">
        <v>91</v>
      </c>
    </row>
    <row r="18" spans="2:17" ht="33" customHeight="1">
      <c r="B18" s="27" t="s">
        <v>140</v>
      </c>
      <c r="C18" s="27"/>
      <c r="D18" s="27"/>
      <c r="E18" s="27"/>
      <c r="F18" s="27"/>
      <c r="G18" s="27"/>
      <c r="H18" s="27"/>
      <c r="I18" s="27"/>
    </row>
    <row r="19" spans="2:17">
      <c r="B19" s="28" t="s">
        <v>92</v>
      </c>
    </row>
    <row r="20" spans="2:17" ht="19" customHeight="1">
      <c r="B20" s="27" t="s">
        <v>141</v>
      </c>
      <c r="C20" s="27"/>
      <c r="D20" s="27"/>
      <c r="E20" s="27"/>
      <c r="F20" s="27"/>
      <c r="G20" s="27"/>
      <c r="H20" s="27"/>
      <c r="I20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468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469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470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185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471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472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473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474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475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476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477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478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479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480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481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482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195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31" customHeight="1">
      <c r="B49" s="30" t="s">
        <v>196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197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198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199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200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201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202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203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204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31" customHeight="1">
      <c r="B58" s="30" t="s">
        <v>483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45" customHeight="1">
      <c r="B59" s="30" t="s">
        <v>484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17" customHeight="1">
      <c r="B60" s="30" t="s">
        <v>207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</sheetData>
  <mergeCells count="33">
    <mergeCell ref="B18:I18"/>
    <mergeCell ref="B20:I20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3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485</v>
      </c>
    </row>
    <row r="5" spans="2:17">
      <c r="B5" s="18" t="s">
        <v>64</v>
      </c>
    </row>
    <row r="6" spans="2:17">
      <c r="B6" s="23" t="s">
        <v>173</v>
      </c>
    </row>
    <row r="8" spans="2:17">
      <c r="B8" s="8" t="s">
        <v>486</v>
      </c>
      <c r="C8" s="24" t="s">
        <v>217</v>
      </c>
      <c r="D8" s="24" t="s">
        <v>487</v>
      </c>
      <c r="E8" s="24" t="s">
        <v>488</v>
      </c>
      <c r="F8" s="24" t="s">
        <v>489</v>
      </c>
      <c r="G8" s="24" t="s">
        <v>490</v>
      </c>
      <c r="H8" s="24" t="s">
        <v>274</v>
      </c>
    </row>
    <row r="9" spans="2:17">
      <c r="B9" s="37" t="s">
        <v>491</v>
      </c>
      <c r="C9" s="25">
        <v>7800</v>
      </c>
      <c r="D9" s="31">
        <f>C9</f>
        <v>7800</v>
      </c>
      <c r="E9" s="31">
        <v>0</v>
      </c>
      <c r="F9" s="31">
        <v>0</v>
      </c>
      <c r="G9" s="31">
        <v>0</v>
      </c>
      <c r="H9" s="31">
        <f>C9</f>
        <v>7800</v>
      </c>
    </row>
    <row r="10" spans="2:17">
      <c r="B10" s="38" t="s">
        <v>492</v>
      </c>
      <c r="C10" s="25">
        <v>1450</v>
      </c>
      <c r="D10" s="31">
        <f>D9+C10</f>
        <v>9250</v>
      </c>
      <c r="E10" s="31">
        <f>MIN(D9,D10)</f>
        <v>7800</v>
      </c>
      <c r="F10" s="31">
        <f>MAX(C10,0)</f>
        <v>1450</v>
      </c>
      <c r="G10" s="31">
        <f>MAX(-C10,0)</f>
        <v>0</v>
      </c>
      <c r="H10" s="31">
        <v>0</v>
      </c>
    </row>
    <row r="11" spans="2:17">
      <c r="B11" s="38" t="s">
        <v>493</v>
      </c>
      <c r="C11" s="25">
        <v>820</v>
      </c>
      <c r="D11" s="31">
        <f>D10+C11</f>
        <v>10070</v>
      </c>
      <c r="E11" s="31">
        <f>MIN(D10,D11)</f>
        <v>9250</v>
      </c>
      <c r="F11" s="31">
        <f>MAX(C11,0)</f>
        <v>820</v>
      </c>
      <c r="G11" s="31">
        <f>MAX(-C11,0)</f>
        <v>0</v>
      </c>
      <c r="H11" s="31">
        <v>0</v>
      </c>
    </row>
    <row r="12" spans="2:17">
      <c r="B12" s="38" t="s">
        <v>494</v>
      </c>
      <c r="C12" s="25">
        <v>-310</v>
      </c>
      <c r="D12" s="31">
        <f>D11+C12</f>
        <v>9760</v>
      </c>
      <c r="E12" s="31">
        <f>MIN(D11,D12)</f>
        <v>9760</v>
      </c>
      <c r="F12" s="31">
        <f>MAX(C12,0)</f>
        <v>0</v>
      </c>
      <c r="G12" s="31">
        <f>MAX(-C12,0)</f>
        <v>310</v>
      </c>
      <c r="H12" s="31">
        <v>0</v>
      </c>
    </row>
    <row r="13" spans="2:17">
      <c r="B13" s="38" t="s">
        <v>495</v>
      </c>
      <c r="C13" s="25">
        <v>-960</v>
      </c>
      <c r="D13" s="31">
        <f>D12+C13</f>
        <v>8800</v>
      </c>
      <c r="E13" s="31">
        <f>MIN(D12,D13)</f>
        <v>8800</v>
      </c>
      <c r="F13" s="31">
        <f>MAX(C13,0)</f>
        <v>0</v>
      </c>
      <c r="G13" s="31">
        <f>MAX(-C13,0)</f>
        <v>960</v>
      </c>
      <c r="H13" s="31">
        <v>0</v>
      </c>
    </row>
    <row r="14" spans="2:17">
      <c r="B14" s="38" t="s">
        <v>496</v>
      </c>
      <c r="C14" s="25">
        <v>-540</v>
      </c>
      <c r="D14" s="31">
        <f>D13+C14</f>
        <v>8260</v>
      </c>
      <c r="E14" s="31">
        <f>MIN(D13,D14)</f>
        <v>8260</v>
      </c>
      <c r="F14" s="31">
        <f>MAX(C14,0)</f>
        <v>0</v>
      </c>
      <c r="G14" s="31">
        <f>MAX(-C14,0)</f>
        <v>540</v>
      </c>
      <c r="H14" s="31">
        <v>0</v>
      </c>
    </row>
    <row r="15" spans="2:17">
      <c r="B15" s="38" t="s">
        <v>497</v>
      </c>
      <c r="C15" s="25">
        <v>390</v>
      </c>
      <c r="D15" s="31">
        <f>D14+C15</f>
        <v>8650</v>
      </c>
      <c r="E15" s="31">
        <f>MIN(D14,D15)</f>
        <v>8260</v>
      </c>
      <c r="F15" s="31">
        <f>MAX(C15,0)</f>
        <v>390</v>
      </c>
      <c r="G15" s="31">
        <f>MAX(-C15,0)</f>
        <v>0</v>
      </c>
      <c r="H15" s="31">
        <v>0</v>
      </c>
    </row>
    <row r="16" spans="2:17">
      <c r="B16" s="37" t="s">
        <v>498</v>
      </c>
      <c r="C16" s="31">
        <f>D15</f>
        <v>8650</v>
      </c>
      <c r="D16" s="31">
        <f>C16</f>
        <v>8650</v>
      </c>
      <c r="E16" s="31">
        <v>0</v>
      </c>
      <c r="F16" s="31">
        <v>0</v>
      </c>
      <c r="G16" s="31">
        <v>0</v>
      </c>
      <c r="H16" s="31">
        <f>C16</f>
        <v>8650</v>
      </c>
    </row>
    <row r="18" spans="2:17">
      <c r="B18" s="13" t="s">
        <v>499</v>
      </c>
    </row>
    <row r="20" spans="2:17">
      <c r="B20" s="26" t="s">
        <v>91</v>
      </c>
    </row>
    <row r="21" spans="2:17" ht="33" customHeight="1">
      <c r="B21" s="27" t="s">
        <v>144</v>
      </c>
      <c r="C21" s="27"/>
      <c r="D21" s="27"/>
      <c r="E21" s="27"/>
      <c r="F21" s="27"/>
      <c r="G21" s="27"/>
      <c r="H21" s="27"/>
      <c r="I21" s="27"/>
    </row>
    <row r="22" spans="2:17">
      <c r="B22" s="28" t="s">
        <v>92</v>
      </c>
    </row>
    <row r="23" spans="2:17" ht="19" customHeight="1">
      <c r="B23" s="27" t="s">
        <v>145</v>
      </c>
      <c r="C23" s="27"/>
      <c r="D23" s="27"/>
      <c r="E23" s="27"/>
      <c r="F23" s="27"/>
      <c r="G23" s="27"/>
      <c r="H23" s="27"/>
      <c r="I23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500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501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418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502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503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504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505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506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507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508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509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510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511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512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513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514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515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516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31" customHeight="1">
      <c r="B52" s="30" t="s">
        <v>196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197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198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199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201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202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203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17" customHeight="1">
      <c r="B60" s="30" t="s">
        <v>204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31" customHeight="1">
      <c r="B61" s="30" t="s">
        <v>517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2:17" ht="45" customHeight="1">
      <c r="B62" s="30" t="s">
        <v>518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2:17" ht="17" customHeight="1">
      <c r="B63" s="30" t="s">
        <v>207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</sheetData>
  <mergeCells count="36">
    <mergeCell ref="B21:I21"/>
    <mergeCell ref="B23:I23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  <mergeCell ref="B62:Q62"/>
    <mergeCell ref="B63:Q63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2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519</v>
      </c>
    </row>
    <row r="5" spans="2:17">
      <c r="B5" s="18" t="s">
        <v>67</v>
      </c>
    </row>
    <row r="6" spans="2:17">
      <c r="B6" s="23" t="s">
        <v>173</v>
      </c>
    </row>
    <row r="8" spans="2:17">
      <c r="B8" s="8" t="s">
        <v>486</v>
      </c>
      <c r="C8" s="24" t="s">
        <v>520</v>
      </c>
      <c r="D8" s="24" t="s">
        <v>521</v>
      </c>
      <c r="E8" s="24" t="s">
        <v>522</v>
      </c>
      <c r="F8" s="24" t="s">
        <v>523</v>
      </c>
      <c r="G8" s="24" t="s">
        <v>488</v>
      </c>
    </row>
    <row r="9" spans="2:17">
      <c r="B9" s="11" t="s">
        <v>524</v>
      </c>
      <c r="C9" s="11" t="s">
        <v>525</v>
      </c>
      <c r="D9" s="25">
        <v>1</v>
      </c>
      <c r="E9" s="25">
        <v>1</v>
      </c>
      <c r="F9" s="31">
        <f>D9+E9-1</f>
        <v>1</v>
      </c>
      <c r="G9" s="31">
        <f>D9-1</f>
        <v>0</v>
      </c>
    </row>
    <row r="10" spans="2:17">
      <c r="B10" s="11" t="s">
        <v>526</v>
      </c>
      <c r="C10" s="11" t="s">
        <v>436</v>
      </c>
      <c r="D10" s="25">
        <v>1</v>
      </c>
      <c r="E10" s="25">
        <v>2</v>
      </c>
      <c r="F10" s="31">
        <f>D10+E10-1</f>
        <v>2</v>
      </c>
      <c r="G10" s="31">
        <f>D10-1</f>
        <v>0</v>
      </c>
    </row>
    <row r="11" spans="2:17">
      <c r="B11" s="11" t="s">
        <v>527</v>
      </c>
      <c r="C11" s="11" t="s">
        <v>528</v>
      </c>
      <c r="D11" s="25">
        <v>2</v>
      </c>
      <c r="E11" s="25">
        <v>2</v>
      </c>
      <c r="F11" s="31">
        <f>D11+E11-1</f>
        <v>3</v>
      </c>
      <c r="G11" s="31">
        <f>D11-1</f>
        <v>1</v>
      </c>
    </row>
    <row r="12" spans="2:17">
      <c r="B12" s="11" t="s">
        <v>529</v>
      </c>
      <c r="C12" s="11" t="s">
        <v>530</v>
      </c>
      <c r="D12" s="25">
        <v>2</v>
      </c>
      <c r="E12" s="25">
        <v>3</v>
      </c>
      <c r="F12" s="31">
        <f>D12+E12-1</f>
        <v>4</v>
      </c>
      <c r="G12" s="31">
        <f>D12-1</f>
        <v>1</v>
      </c>
    </row>
    <row r="13" spans="2:17">
      <c r="B13" s="11" t="s">
        <v>531</v>
      </c>
      <c r="C13" s="11" t="s">
        <v>532</v>
      </c>
      <c r="D13" s="25">
        <v>3</v>
      </c>
      <c r="E13" s="25">
        <v>2</v>
      </c>
      <c r="F13" s="31">
        <f>D13+E13-1</f>
        <v>4</v>
      </c>
      <c r="G13" s="31">
        <f>D13-1</f>
        <v>2</v>
      </c>
    </row>
    <row r="14" spans="2:17">
      <c r="B14" s="11" t="s">
        <v>533</v>
      </c>
      <c r="C14" s="11" t="s">
        <v>528</v>
      </c>
      <c r="D14" s="25">
        <v>4</v>
      </c>
      <c r="E14" s="25">
        <v>2</v>
      </c>
      <c r="F14" s="31">
        <f>D14+E14-1</f>
        <v>5</v>
      </c>
      <c r="G14" s="31">
        <f>D14-1</f>
        <v>3</v>
      </c>
    </row>
    <row r="15" spans="2:17">
      <c r="B15" s="11" t="s">
        <v>534</v>
      </c>
      <c r="C15" s="11" t="s">
        <v>535</v>
      </c>
      <c r="D15" s="25">
        <v>5</v>
      </c>
      <c r="E15" s="25">
        <v>2</v>
      </c>
      <c r="F15" s="31">
        <f>D15+E15-1</f>
        <v>6</v>
      </c>
      <c r="G15" s="31">
        <f>D15-1</f>
        <v>4</v>
      </c>
    </row>
    <row r="16" spans="2:17">
      <c r="B16" s="11" t="s">
        <v>536</v>
      </c>
      <c r="C16" s="11" t="s">
        <v>537</v>
      </c>
      <c r="D16" s="25">
        <v>6</v>
      </c>
      <c r="E16" s="25">
        <v>2</v>
      </c>
      <c r="F16" s="31">
        <f>D16+E16-1</f>
        <v>7</v>
      </c>
      <c r="G16" s="31">
        <f>D16-1</f>
        <v>5</v>
      </c>
    </row>
    <row r="17" spans="2:17">
      <c r="B17" s="11" t="s">
        <v>538</v>
      </c>
      <c r="C17" s="11" t="s">
        <v>539</v>
      </c>
      <c r="D17" s="25">
        <v>8</v>
      </c>
      <c r="E17" s="25">
        <v>1</v>
      </c>
      <c r="F17" s="31">
        <f>D17+E17-1</f>
        <v>8</v>
      </c>
      <c r="G17" s="31">
        <f>D17-1</f>
        <v>7</v>
      </c>
    </row>
    <row r="19" spans="2:17">
      <c r="B19" s="26" t="s">
        <v>91</v>
      </c>
    </row>
    <row r="20" spans="2:17" ht="19" customHeight="1">
      <c r="B20" s="27" t="s">
        <v>148</v>
      </c>
      <c r="C20" s="27"/>
      <c r="D20" s="27"/>
      <c r="E20" s="27"/>
      <c r="F20" s="27"/>
      <c r="G20" s="27"/>
      <c r="H20" s="27"/>
      <c r="I20" s="27"/>
    </row>
    <row r="21" spans="2:17">
      <c r="B21" s="28" t="s">
        <v>92</v>
      </c>
    </row>
    <row r="22" spans="2:17" ht="19" customHeight="1">
      <c r="B22" s="27" t="s">
        <v>149</v>
      </c>
      <c r="C22" s="27"/>
      <c r="D22" s="27"/>
      <c r="E22" s="27"/>
      <c r="F22" s="27"/>
      <c r="G22" s="27"/>
      <c r="H22" s="27"/>
      <c r="I22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540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541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542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259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543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544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545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546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547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548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549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550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551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191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31" customHeight="1">
      <c r="B45" s="30" t="s">
        <v>552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553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554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555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556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195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31" customHeight="1">
      <c r="B51" s="30" t="s">
        <v>196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198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199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200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201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202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203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204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31" customHeight="1">
      <c r="B60" s="30" t="s">
        <v>557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45" customHeight="1">
      <c r="B61" s="30" t="s">
        <v>558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2:17" ht="17" customHeight="1">
      <c r="B62" s="30" t="s">
        <v>207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</sheetData>
  <mergeCells count="35">
    <mergeCell ref="B20:I20"/>
    <mergeCell ref="B22:I22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  <mergeCell ref="B62:Q62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8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559</v>
      </c>
    </row>
    <row r="5" spans="2:17">
      <c r="B5" s="18" t="s">
        <v>70</v>
      </c>
    </row>
    <row r="6" spans="2:17">
      <c r="B6" s="23" t="s">
        <v>173</v>
      </c>
    </row>
    <row r="8" spans="2:17">
      <c r="B8" s="8" t="s">
        <v>560</v>
      </c>
      <c r="C8" s="24" t="s">
        <v>272</v>
      </c>
      <c r="D8" s="24" t="s">
        <v>273</v>
      </c>
    </row>
    <row r="9" spans="2:17">
      <c r="B9" s="11" t="s">
        <v>561</v>
      </c>
      <c r="C9" s="39">
        <v>0.18</v>
      </c>
      <c r="D9" s="39">
        <v>0.24</v>
      </c>
    </row>
    <row r="10" spans="2:17">
      <c r="B10" s="11" t="s">
        <v>562</v>
      </c>
      <c r="C10" s="39">
        <v>0.22</v>
      </c>
      <c r="D10" s="39">
        <v>0.21</v>
      </c>
    </row>
    <row r="11" spans="2:17">
      <c r="B11" s="11" t="s">
        <v>563</v>
      </c>
      <c r="C11" s="39">
        <v>0.15</v>
      </c>
      <c r="D11" s="39">
        <v>0.19</v>
      </c>
    </row>
    <row r="12" spans="2:17">
      <c r="B12" s="11" t="s">
        <v>564</v>
      </c>
      <c r="C12" s="39">
        <v>0.27</v>
      </c>
      <c r="D12" s="39">
        <v>0.23</v>
      </c>
    </row>
    <row r="13" spans="2:17">
      <c r="B13" s="11" t="s">
        <v>565</v>
      </c>
      <c r="C13" s="39">
        <v>0.12</v>
      </c>
      <c r="D13" s="39">
        <v>0.16</v>
      </c>
    </row>
    <row r="15" spans="2:17">
      <c r="B15" s="26" t="s">
        <v>91</v>
      </c>
    </row>
    <row r="16" spans="2:17" ht="19" customHeight="1">
      <c r="B16" s="27" t="s">
        <v>152</v>
      </c>
      <c r="C16" s="27"/>
      <c r="D16" s="27"/>
      <c r="E16" s="27"/>
      <c r="F16" s="27"/>
      <c r="G16" s="27"/>
      <c r="H16" s="27"/>
      <c r="I16" s="27"/>
    </row>
    <row r="17" spans="2:17">
      <c r="B17" s="28" t="s">
        <v>92</v>
      </c>
    </row>
    <row r="18" spans="2:17" ht="19" customHeight="1">
      <c r="B18" s="27" t="s">
        <v>153</v>
      </c>
      <c r="C18" s="27"/>
      <c r="D18" s="27"/>
      <c r="E18" s="27"/>
      <c r="F18" s="27"/>
      <c r="G18" s="27"/>
      <c r="H18" s="27"/>
      <c r="I18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566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567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568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243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569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570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571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572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573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191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574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575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576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577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578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195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31" customHeight="1">
      <c r="B47" s="30" t="s">
        <v>196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197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198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199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200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201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202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203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204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31" customHeight="1">
      <c r="B56" s="30" t="s">
        <v>579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45" customHeight="1">
      <c r="B57" s="30" t="s">
        <v>580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207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</sheetData>
  <mergeCells count="31">
    <mergeCell ref="B16:I16"/>
    <mergeCell ref="B18:I18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2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581</v>
      </c>
    </row>
    <row r="5" spans="2:17">
      <c r="B5" s="18" t="s">
        <v>73</v>
      </c>
    </row>
    <row r="6" spans="2:17">
      <c r="B6" s="23" t="s">
        <v>173</v>
      </c>
    </row>
    <row r="8" spans="2:17">
      <c r="B8" s="8" t="s">
        <v>42</v>
      </c>
      <c r="C8" s="24" t="s">
        <v>239</v>
      </c>
      <c r="D8" s="24" t="s">
        <v>240</v>
      </c>
      <c r="E8" s="24" t="s">
        <v>582</v>
      </c>
      <c r="F8" s="24" t="s">
        <v>583</v>
      </c>
      <c r="G8" s="24" t="s">
        <v>584</v>
      </c>
    </row>
    <row r="9" spans="2:17">
      <c r="B9" s="11" t="s">
        <v>585</v>
      </c>
      <c r="C9" s="25">
        <v>1500</v>
      </c>
      <c r="D9" s="25">
        <v>1680</v>
      </c>
      <c r="E9" s="32">
        <f>D9/C9-1</f>
        <v>0.1200000000000001</v>
      </c>
      <c r="F9" s="32">
        <f>MAX(E9,0)</f>
        <v>0.1200000000000001</v>
      </c>
      <c r="G9" s="32">
        <f>MIN(E9,0)</f>
        <v>0</v>
      </c>
    </row>
    <row r="10" spans="2:17">
      <c r="B10" s="11" t="s">
        <v>586</v>
      </c>
      <c r="C10" s="25">
        <v>2400</v>
      </c>
      <c r="D10" s="25">
        <v>2604</v>
      </c>
      <c r="E10" s="32">
        <f>D10/C10-1</f>
        <v>0.08499999999999996</v>
      </c>
      <c r="F10" s="32">
        <f>MAX(E10,0)</f>
        <v>0.08499999999999996</v>
      </c>
      <c r="G10" s="32">
        <f>MIN(E10,0)</f>
        <v>0</v>
      </c>
    </row>
    <row r="11" spans="2:17">
      <c r="B11" s="11" t="s">
        <v>587</v>
      </c>
      <c r="C11" s="25">
        <v>1800</v>
      </c>
      <c r="D11" s="25">
        <v>1921</v>
      </c>
      <c r="E11" s="32">
        <f>D11/C11-1</f>
        <v>0.0672222222222223</v>
      </c>
      <c r="F11" s="32">
        <f>MAX(E11,0)</f>
        <v>0.0672222222222223</v>
      </c>
      <c r="G11" s="32">
        <f>MIN(E11,0)</f>
        <v>0</v>
      </c>
    </row>
    <row r="12" spans="2:17">
      <c r="B12" s="11" t="s">
        <v>588</v>
      </c>
      <c r="C12" s="25">
        <v>3200</v>
      </c>
      <c r="D12" s="25">
        <v>3341</v>
      </c>
      <c r="E12" s="32">
        <f>D12/C12-1</f>
        <v>0.04406249999999989</v>
      </c>
      <c r="F12" s="32">
        <f>MAX(E12,0)</f>
        <v>0.04406249999999989</v>
      </c>
      <c r="G12" s="32">
        <f>MIN(E12,0)</f>
        <v>0</v>
      </c>
    </row>
    <row r="13" spans="2:17">
      <c r="B13" s="11" t="s">
        <v>589</v>
      </c>
      <c r="C13" s="25">
        <v>900</v>
      </c>
      <c r="D13" s="25">
        <v>886</v>
      </c>
      <c r="E13" s="32">
        <f>D13/C13-1</f>
        <v>-0.015555555555555545</v>
      </c>
      <c r="F13" s="32">
        <f>MAX(E13,0)</f>
        <v>0</v>
      </c>
      <c r="G13" s="32">
        <f>MIN(E13,0)</f>
        <v>-0.015555555555555545</v>
      </c>
    </row>
    <row r="14" spans="2:17">
      <c r="B14" s="11" t="s">
        <v>590</v>
      </c>
      <c r="C14" s="25">
        <v>1100</v>
      </c>
      <c r="D14" s="25">
        <v>1066</v>
      </c>
      <c r="E14" s="32">
        <f>D14/C14-1</f>
        <v>-0.030909090909090886</v>
      </c>
      <c r="F14" s="32">
        <f>MAX(E14,0)</f>
        <v>0</v>
      </c>
      <c r="G14" s="32">
        <f>MIN(E14,0)</f>
        <v>-0.030909090909090886</v>
      </c>
    </row>
    <row r="15" spans="2:17">
      <c r="B15" s="11" t="s">
        <v>591</v>
      </c>
      <c r="C15" s="25">
        <v>1300</v>
      </c>
      <c r="D15" s="25">
        <v>1219</v>
      </c>
      <c r="E15" s="32">
        <f>D15/C15-1</f>
        <v>-0.062307692307692286</v>
      </c>
      <c r="F15" s="32">
        <f>MAX(E15,0)</f>
        <v>0</v>
      </c>
      <c r="G15" s="32">
        <f>MIN(E15,0)</f>
        <v>-0.062307692307692286</v>
      </c>
    </row>
    <row r="16" spans="2:17">
      <c r="B16" s="11" t="s">
        <v>592</v>
      </c>
      <c r="C16" s="25">
        <v>600</v>
      </c>
      <c r="D16" s="25">
        <v>541</v>
      </c>
      <c r="E16" s="32">
        <f>D16/C16-1</f>
        <v>-0.09833333333333338</v>
      </c>
      <c r="F16" s="32">
        <f>MAX(E16,0)</f>
        <v>0</v>
      </c>
      <c r="G16" s="32">
        <f>MIN(E16,0)</f>
        <v>-0.09833333333333338</v>
      </c>
    </row>
    <row r="18" spans="2:17">
      <c r="B18" s="26" t="s">
        <v>91</v>
      </c>
    </row>
    <row r="19" spans="2:17" ht="19" customHeight="1">
      <c r="B19" s="27" t="s">
        <v>156</v>
      </c>
      <c r="C19" s="27"/>
      <c r="D19" s="27"/>
      <c r="E19" s="27"/>
      <c r="F19" s="27"/>
      <c r="G19" s="27"/>
      <c r="H19" s="27"/>
      <c r="I19" s="27"/>
    </row>
    <row r="20" spans="2:17">
      <c r="B20" s="28" t="s">
        <v>92</v>
      </c>
    </row>
    <row r="21" spans="2:17" ht="19" customHeight="1">
      <c r="B21" s="27" t="s">
        <v>157</v>
      </c>
      <c r="C21" s="27"/>
      <c r="D21" s="27"/>
      <c r="E21" s="27"/>
      <c r="F21" s="27"/>
      <c r="G21" s="27"/>
      <c r="H21" s="27"/>
      <c r="I21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593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594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595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418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596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597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598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599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600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601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602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603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604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605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606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607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608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609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195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31" customHeight="1">
      <c r="B51" s="30" t="s">
        <v>196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198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199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200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201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202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203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17" customHeight="1">
      <c r="B59" s="30" t="s">
        <v>204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31" customHeight="1">
      <c r="B60" s="30" t="s">
        <v>610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45" customHeight="1">
      <c r="B61" s="30" t="s">
        <v>611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2:17" ht="17" customHeight="1">
      <c r="B62" s="30" t="s">
        <v>207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</sheetData>
  <mergeCells count="35">
    <mergeCell ref="B19:I19"/>
    <mergeCell ref="B21:I21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  <mergeCell ref="B62:Q62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3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14" width="8.28515625" customWidth="1"/>
    <col min="15" max="15" width="9.7109375" customWidth="1"/>
    <col min="16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612</v>
      </c>
    </row>
    <row r="5" spans="2:17">
      <c r="B5" s="18" t="s">
        <v>76</v>
      </c>
    </row>
    <row r="6" spans="2:17">
      <c r="B6" s="23" t="s">
        <v>173</v>
      </c>
    </row>
    <row r="8" spans="2:17">
      <c r="B8" s="8" t="s">
        <v>174</v>
      </c>
      <c r="C8" s="24" t="s">
        <v>292</v>
      </c>
      <c r="D8" s="24" t="s">
        <v>293</v>
      </c>
      <c r="E8" s="24" t="s">
        <v>294</v>
      </c>
      <c r="F8" s="24" t="s">
        <v>295</v>
      </c>
      <c r="G8" s="24" t="s">
        <v>296</v>
      </c>
      <c r="H8" s="24" t="s">
        <v>297</v>
      </c>
      <c r="I8" s="24" t="s">
        <v>298</v>
      </c>
      <c r="J8" s="24" t="s">
        <v>299</v>
      </c>
      <c r="K8" s="24" t="s">
        <v>300</v>
      </c>
      <c r="L8" s="24" t="s">
        <v>301</v>
      </c>
      <c r="M8" s="24" t="s">
        <v>302</v>
      </c>
      <c r="N8" s="24" t="s">
        <v>303</v>
      </c>
      <c r="O8" s="24" t="s">
        <v>274</v>
      </c>
    </row>
    <row r="9" spans="2:17" ht="22" customHeight="1">
      <c r="B9" s="11" t="s">
        <v>175</v>
      </c>
      <c r="C9" s="40">
        <v>310</v>
      </c>
      <c r="D9" s="40">
        <v>295</v>
      </c>
      <c r="E9" s="40">
        <v>330</v>
      </c>
      <c r="F9" s="40">
        <v>345</v>
      </c>
      <c r="G9" s="40">
        <v>360</v>
      </c>
      <c r="H9" s="40">
        <v>350</v>
      </c>
      <c r="I9" s="40">
        <v>340</v>
      </c>
      <c r="J9" s="40">
        <v>365</v>
      </c>
      <c r="K9" s="40">
        <v>375</v>
      </c>
      <c r="L9" s="40">
        <v>390</v>
      </c>
      <c r="M9" s="40">
        <v>420</v>
      </c>
      <c r="N9" s="40">
        <v>520</v>
      </c>
      <c r="O9" s="41">
        <f>SUM(C9:N9)</f>
        <v>4400</v>
      </c>
    </row>
    <row r="10" spans="2:17" ht="22" customHeight="1">
      <c r="B10" s="11" t="s">
        <v>176</v>
      </c>
      <c r="C10" s="40">
        <v>420</v>
      </c>
      <c r="D10" s="40">
        <v>400</v>
      </c>
      <c r="E10" s="40">
        <v>445</v>
      </c>
      <c r="F10" s="40">
        <v>460</v>
      </c>
      <c r="G10" s="40">
        <v>470</v>
      </c>
      <c r="H10" s="40">
        <v>455</v>
      </c>
      <c r="I10" s="40">
        <v>450</v>
      </c>
      <c r="J10" s="40">
        <v>480</v>
      </c>
      <c r="K10" s="40">
        <v>495</v>
      </c>
      <c r="L10" s="40">
        <v>520</v>
      </c>
      <c r="M10" s="40">
        <v>560</v>
      </c>
      <c r="N10" s="40">
        <v>695</v>
      </c>
      <c r="O10" s="41">
        <f>SUM(C10:N10)</f>
        <v>5850</v>
      </c>
    </row>
    <row r="11" spans="2:17" ht="22" customHeight="1">
      <c r="B11" s="11" t="s">
        <v>177</v>
      </c>
      <c r="C11" s="40">
        <v>300</v>
      </c>
      <c r="D11" s="40">
        <v>290</v>
      </c>
      <c r="E11" s="40">
        <v>315</v>
      </c>
      <c r="F11" s="40">
        <v>320</v>
      </c>
      <c r="G11" s="40">
        <v>335</v>
      </c>
      <c r="H11" s="40">
        <v>340</v>
      </c>
      <c r="I11" s="40">
        <v>330</v>
      </c>
      <c r="J11" s="40">
        <v>345</v>
      </c>
      <c r="K11" s="40">
        <v>330</v>
      </c>
      <c r="L11" s="40">
        <v>325</v>
      </c>
      <c r="M11" s="40">
        <v>330</v>
      </c>
      <c r="N11" s="40">
        <v>340</v>
      </c>
      <c r="O11" s="41">
        <f>SUM(C11:N11)</f>
        <v>3900</v>
      </c>
    </row>
    <row r="12" spans="2:17" ht="22" customHeight="1">
      <c r="B12" s="11" t="s">
        <v>178</v>
      </c>
      <c r="C12" s="40">
        <v>690</v>
      </c>
      <c r="D12" s="40">
        <v>660</v>
      </c>
      <c r="E12" s="40">
        <v>720</v>
      </c>
      <c r="F12" s="40">
        <v>750</v>
      </c>
      <c r="G12" s="40">
        <v>780</v>
      </c>
      <c r="H12" s="40">
        <v>770</v>
      </c>
      <c r="I12" s="40">
        <v>760</v>
      </c>
      <c r="J12" s="40">
        <v>800</v>
      </c>
      <c r="K12" s="40">
        <v>820</v>
      </c>
      <c r="L12" s="40">
        <v>860</v>
      </c>
      <c r="M12" s="40">
        <v>950</v>
      </c>
      <c r="N12" s="40">
        <v>1140</v>
      </c>
      <c r="O12" s="41">
        <f>SUM(C12:N12)</f>
        <v>9700</v>
      </c>
    </row>
    <row r="13" spans="2:17" ht="22" customHeight="1">
      <c r="B13" s="11" t="s">
        <v>179</v>
      </c>
      <c r="C13" s="40">
        <v>480</v>
      </c>
      <c r="D13" s="40">
        <v>455</v>
      </c>
      <c r="E13" s="40">
        <v>500</v>
      </c>
      <c r="F13" s="40">
        <v>515</v>
      </c>
      <c r="G13" s="40">
        <v>530</v>
      </c>
      <c r="H13" s="40">
        <v>520</v>
      </c>
      <c r="I13" s="40">
        <v>505</v>
      </c>
      <c r="J13" s="40">
        <v>535</v>
      </c>
      <c r="K13" s="40">
        <v>545</v>
      </c>
      <c r="L13" s="40">
        <v>560</v>
      </c>
      <c r="M13" s="40">
        <v>600</v>
      </c>
      <c r="N13" s="40">
        <v>655</v>
      </c>
      <c r="O13" s="41">
        <f>SUM(C13:N13)</f>
        <v>6400</v>
      </c>
    </row>
    <row r="15" spans="2:17">
      <c r="B15" s="13" t="s">
        <v>613</v>
      </c>
      <c r="C15" s="42" t="s">
        <v>614</v>
      </c>
      <c r="D15" s="43"/>
      <c r="E15" s="44"/>
      <c r="F15" s="45"/>
      <c r="G15" s="46" t="s">
        <v>615</v>
      </c>
    </row>
    <row r="16" spans="2:17">
      <c r="B16" s="13" t="s">
        <v>616</v>
      </c>
    </row>
    <row r="18" spans="2:17">
      <c r="B18" s="26" t="s">
        <v>91</v>
      </c>
    </row>
    <row r="19" spans="2:17" ht="33" customHeight="1">
      <c r="B19" s="27" t="s">
        <v>160</v>
      </c>
      <c r="C19" s="27"/>
      <c r="D19" s="27"/>
      <c r="E19" s="27"/>
      <c r="F19" s="27"/>
      <c r="G19" s="27"/>
      <c r="H19" s="27"/>
      <c r="I19" s="27"/>
    </row>
    <row r="20" spans="2:17">
      <c r="B20" s="28" t="s">
        <v>92</v>
      </c>
    </row>
    <row r="21" spans="2:17" ht="19" customHeight="1">
      <c r="B21" s="27" t="s">
        <v>161</v>
      </c>
      <c r="C21" s="27"/>
      <c r="D21" s="27"/>
      <c r="E21" s="27"/>
      <c r="F21" s="27"/>
      <c r="G21" s="27"/>
      <c r="H21" s="27"/>
      <c r="I21" s="27"/>
    </row>
    <row r="24" spans="2:17" ht="22" customHeight="1">
      <c r="B24" s="29" t="s">
        <v>181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2:17" ht="31" customHeight="1">
      <c r="B25" s="30" t="s">
        <v>617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spans="2:17" ht="17" customHeight="1">
      <c r="B26" s="30" t="s">
        <v>183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spans="2:17" ht="17" customHeight="1">
      <c r="B27" s="30" t="s">
        <v>618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spans="2:17" ht="17" customHeight="1">
      <c r="B28" s="30" t="s">
        <v>619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</row>
    <row r="29" spans="2:17" ht="17" customHeight="1">
      <c r="B29" s="30" t="s">
        <v>620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2:17" ht="17" customHeight="1">
      <c r="B30" s="30" t="s">
        <v>621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r="31" spans="2:17" ht="17" customHeight="1">
      <c r="B31" s="30" t="s">
        <v>622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623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624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191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625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626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627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628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629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630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195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31" customHeight="1">
      <c r="B42" s="30" t="s">
        <v>196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197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198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199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200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201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202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203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17" customHeight="1">
      <c r="B50" s="30" t="s">
        <v>204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31" customHeight="1">
      <c r="B51" s="30" t="s">
        <v>631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45" customHeight="1">
      <c r="B52" s="30" t="s">
        <v>632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207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</sheetData>
  <mergeCells count="32">
    <mergeCell ref="B19:I19"/>
    <mergeCell ref="B21:I21"/>
    <mergeCell ref="B24:Q24"/>
    <mergeCell ref="B25:Q25"/>
    <mergeCell ref="B26:Q26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</mergeCells>
  <conditionalFormatting sqref="C9:N13">
    <cfRule type="colorScale" priority="1">
      <colorScale>
        <cfvo type="min" val="0"/>
        <cfvo type="max" val="0"/>
        <color rgb="FFFFFFFF"/>
        <color rgb="FFEF4517"/>
      </colorScale>
    </cfRule>
  </conditionalFormatting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1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633</v>
      </c>
    </row>
    <row r="5" spans="2:17">
      <c r="B5" s="18" t="s">
        <v>79</v>
      </c>
    </row>
    <row r="6" spans="2:17">
      <c r="B6" s="23" t="s">
        <v>173</v>
      </c>
    </row>
    <row r="8" spans="2:17">
      <c r="B8" s="8" t="s">
        <v>634</v>
      </c>
      <c r="C8" s="24" t="s">
        <v>635</v>
      </c>
      <c r="D8" s="24" t="s">
        <v>349</v>
      </c>
      <c r="E8" s="24" t="s">
        <v>636</v>
      </c>
      <c r="F8" s="24" t="s">
        <v>637</v>
      </c>
    </row>
    <row r="9" spans="2:17">
      <c r="B9" s="11" t="s">
        <v>638</v>
      </c>
      <c r="C9" s="25">
        <v>420</v>
      </c>
      <c r="D9" s="32">
        <f>C9/SUM($C$9:$C$15)</f>
        <v>0.3684210526315789</v>
      </c>
      <c r="E9" s="32">
        <f>SUM($C$9:C9)/SUM($C$9:$C$15)</f>
        <v>0.3684210526315789</v>
      </c>
      <c r="F9" s="35">
        <v>0.8</v>
      </c>
    </row>
    <row r="10" spans="2:17">
      <c r="B10" s="11" t="s">
        <v>639</v>
      </c>
      <c r="C10" s="25">
        <v>310</v>
      </c>
      <c r="D10" s="32">
        <f>C10/SUM($C$9:$C$15)</f>
        <v>0.2719298245614035</v>
      </c>
      <c r="E10" s="32">
        <f>SUM($C$9:C10)/SUM($C$9:$C$15)</f>
        <v>0.6403508771929824</v>
      </c>
      <c r="F10" s="35">
        <v>0.8</v>
      </c>
    </row>
    <row r="11" spans="2:17">
      <c r="B11" s="11" t="s">
        <v>640</v>
      </c>
      <c r="C11" s="25">
        <v>180</v>
      </c>
      <c r="D11" s="32">
        <f>C11/SUM($C$9:$C$15)</f>
        <v>0.15789473684210525</v>
      </c>
      <c r="E11" s="32">
        <f>SUM($C$9:C11)/SUM($C$9:$C$15)</f>
        <v>0.7982456140350878</v>
      </c>
      <c r="F11" s="35">
        <v>0.8</v>
      </c>
    </row>
    <row r="12" spans="2:17">
      <c r="B12" s="11" t="s">
        <v>641</v>
      </c>
      <c r="C12" s="25">
        <v>95</v>
      </c>
      <c r="D12" s="32">
        <f>C12/SUM($C$9:$C$15)</f>
        <v>0.08333333333333333</v>
      </c>
      <c r="E12" s="32">
        <f>SUM($C$9:C12)/SUM($C$9:$C$15)</f>
        <v>0.881578947368421</v>
      </c>
      <c r="F12" s="35">
        <v>0.8</v>
      </c>
    </row>
    <row r="13" spans="2:17">
      <c r="B13" s="11" t="s">
        <v>642</v>
      </c>
      <c r="C13" s="25">
        <v>70</v>
      </c>
      <c r="D13" s="32">
        <f>C13/SUM($C$9:$C$15)</f>
        <v>0.06140350877192982</v>
      </c>
      <c r="E13" s="32">
        <f>SUM($C$9:C13)/SUM($C$9:$C$15)</f>
        <v>0.9429824561403509</v>
      </c>
      <c r="F13" s="35">
        <v>0.8</v>
      </c>
    </row>
    <row r="14" spans="2:17">
      <c r="B14" s="11" t="s">
        <v>643</v>
      </c>
      <c r="C14" s="25">
        <v>40</v>
      </c>
      <c r="D14" s="32">
        <f>C14/SUM($C$9:$C$15)</f>
        <v>0.03508771929824561</v>
      </c>
      <c r="E14" s="32">
        <f>SUM($C$9:C14)/SUM($C$9:$C$15)</f>
        <v>0.9780701754385965</v>
      </c>
      <c r="F14" s="35">
        <v>0.8</v>
      </c>
    </row>
    <row r="15" spans="2:17">
      <c r="B15" s="11" t="s">
        <v>367</v>
      </c>
      <c r="C15" s="25">
        <v>25</v>
      </c>
      <c r="D15" s="32">
        <f>C15/SUM($C$9:$C$15)</f>
        <v>0.021929824561403508</v>
      </c>
      <c r="E15" s="32">
        <f>SUM($C$9:C15)/SUM($C$9:$C$15)</f>
        <v>1.0</v>
      </c>
      <c r="F15" s="35">
        <v>0.8</v>
      </c>
    </row>
    <row r="17" spans="2:17">
      <c r="B17" s="26" t="s">
        <v>91</v>
      </c>
    </row>
    <row r="18" spans="2:17" ht="19" customHeight="1">
      <c r="B18" s="27" t="s">
        <v>164</v>
      </c>
      <c r="C18" s="27"/>
      <c r="D18" s="27"/>
      <c r="E18" s="27"/>
      <c r="F18" s="27"/>
      <c r="G18" s="27"/>
      <c r="H18" s="27"/>
      <c r="I18" s="27"/>
    </row>
    <row r="19" spans="2:17">
      <c r="B19" s="28" t="s">
        <v>92</v>
      </c>
    </row>
    <row r="20" spans="2:17" ht="19" customHeight="1">
      <c r="B20" s="27" t="s">
        <v>165</v>
      </c>
      <c r="C20" s="27"/>
      <c r="D20" s="27"/>
      <c r="E20" s="27"/>
      <c r="F20" s="27"/>
      <c r="G20" s="27"/>
      <c r="H20" s="27"/>
      <c r="I20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644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183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645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418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646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647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648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649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650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651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652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653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654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31" customHeight="1">
      <c r="B45" s="30" t="s">
        <v>655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656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657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658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195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31" customHeight="1">
      <c r="B50" s="30" t="s">
        <v>196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197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198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199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200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201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202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203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204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31" customHeight="1">
      <c r="B59" s="30" t="s">
        <v>659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45" customHeight="1">
      <c r="B60" s="30" t="s">
        <v>660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17" customHeight="1">
      <c r="B61" s="30" t="s">
        <v>207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</sheetData>
  <mergeCells count="34">
    <mergeCell ref="B18:I18"/>
    <mergeCell ref="B20:I20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1"/>
  <sheetViews>
    <sheetView showGridLines="0" workbookViewId="0"/>
  </sheetViews>
  <sheetFormatPr defaultRowHeight="15"/>
  <cols>
    <col min="1" max="1" width="2.7109375" customWidth="1"/>
    <col min="2" max="2" width="28.7109375" customWidth="1"/>
    <col min="3" max="9" width="13.7109375" customWidth="1"/>
    <col min="10" max="17" width="11.7109375" customWidth="1"/>
  </cols>
  <sheetData>
    <row r="1" spans="2:17" s="14" customFormat="1" ht="46" customHeight="1">
      <c r="D1" s="15" t="s">
        <v>84</v>
      </c>
      <c r="Q1" s="16" t="s">
        <v>171</v>
      </c>
    </row>
    <row r="2" spans="2:17" s="1" customFormat="1" ht="5" customHeight="1"/>
    <row r="3" spans="2:17" ht="10" customHeight="1"/>
    <row r="4" spans="2:17" ht="26" customHeight="1">
      <c r="B4" s="17" t="s">
        <v>661</v>
      </c>
    </row>
    <row r="5" spans="2:17">
      <c r="B5" s="18" t="s">
        <v>82</v>
      </c>
    </row>
    <row r="6" spans="2:17">
      <c r="B6" s="23" t="s">
        <v>173</v>
      </c>
    </row>
    <row r="8" spans="2:17" ht="30" customHeight="1">
      <c r="B8" s="8" t="s">
        <v>234</v>
      </c>
      <c r="C8" s="24" t="s">
        <v>413</v>
      </c>
      <c r="D8" s="24" t="s">
        <v>662</v>
      </c>
      <c r="E8" s="24" t="s">
        <v>663</v>
      </c>
      <c r="F8" s="24" t="s">
        <v>664</v>
      </c>
      <c r="G8" s="24" t="s">
        <v>665</v>
      </c>
      <c r="H8" s="24" t="s">
        <v>666</v>
      </c>
    </row>
    <row r="9" spans="2:17">
      <c r="B9" s="11" t="s">
        <v>667</v>
      </c>
      <c r="C9" s="25">
        <v>4200</v>
      </c>
      <c r="D9" s="25">
        <v>1500</v>
      </c>
      <c r="E9" s="25">
        <v>1250</v>
      </c>
      <c r="F9" s="47">
        <f>C9/C$9*100</f>
        <v>100.0</v>
      </c>
      <c r="G9" s="47">
        <f>D9/D$9*100</f>
        <v>100.0</v>
      </c>
      <c r="H9" s="47">
        <f>E9/E$9*100</f>
        <v>100.0</v>
      </c>
    </row>
    <row r="10" spans="2:17">
      <c r="B10" s="11" t="s">
        <v>668</v>
      </c>
      <c r="C10" s="25">
        <v>4350</v>
      </c>
      <c r="D10" s="25">
        <v>1540</v>
      </c>
      <c r="E10" s="25">
        <v>1300</v>
      </c>
      <c r="F10" s="47">
        <f>C10/C$9*100</f>
        <v>103.57142857142858</v>
      </c>
      <c r="G10" s="47">
        <f>D10/D$9*100</f>
        <v>102.66666666666666</v>
      </c>
      <c r="H10" s="47">
        <f>E10/E$9*100</f>
        <v>104.0</v>
      </c>
    </row>
    <row r="11" spans="2:17">
      <c r="B11" s="11" t="s">
        <v>669</v>
      </c>
      <c r="C11" s="25">
        <v>4500</v>
      </c>
      <c r="D11" s="25">
        <v>1600</v>
      </c>
      <c r="E11" s="25">
        <v>1320</v>
      </c>
      <c r="F11" s="47">
        <f>C11/C$9*100</f>
        <v>107.14285714285714</v>
      </c>
      <c r="G11" s="47">
        <f>D11/D$9*100</f>
        <v>106.66666666666667</v>
      </c>
      <c r="H11" s="47">
        <f>E11/E$9*100</f>
        <v>105.60000000000001</v>
      </c>
    </row>
    <row r="12" spans="2:17">
      <c r="B12" s="11" t="s">
        <v>670</v>
      </c>
      <c r="C12" s="25">
        <v>4800</v>
      </c>
      <c r="D12" s="25">
        <v>1700</v>
      </c>
      <c r="E12" s="25">
        <v>1400</v>
      </c>
      <c r="F12" s="47">
        <f>C12/C$9*100</f>
        <v>114.28571428571428</v>
      </c>
      <c r="G12" s="47">
        <f>D12/D$9*100</f>
        <v>113.33333333333333</v>
      </c>
      <c r="H12" s="47">
        <f>E12/E$9*100</f>
        <v>112.00000000000001</v>
      </c>
    </row>
    <row r="13" spans="2:17">
      <c r="B13" s="11" t="s">
        <v>671</v>
      </c>
      <c r="C13" s="25">
        <v>4900</v>
      </c>
      <c r="D13" s="25">
        <v>1780</v>
      </c>
      <c r="E13" s="25">
        <v>1470</v>
      </c>
      <c r="F13" s="47">
        <f>C13/C$9*100</f>
        <v>116.66666666666667</v>
      </c>
      <c r="G13" s="47">
        <f>D13/D$9*100</f>
        <v>118.66666666666667</v>
      </c>
      <c r="H13" s="47">
        <f>E13/E$9*100</f>
        <v>117.6</v>
      </c>
    </row>
    <row r="14" spans="2:17">
      <c r="B14" s="11" t="s">
        <v>672</v>
      </c>
      <c r="C14" s="25">
        <v>5150</v>
      </c>
      <c r="D14" s="25">
        <v>1850</v>
      </c>
      <c r="E14" s="25">
        <v>1520</v>
      </c>
      <c r="F14" s="47">
        <f>C14/C$9*100</f>
        <v>122.61904761904762</v>
      </c>
      <c r="G14" s="47">
        <f>D14/D$9*100</f>
        <v>123.33333333333334</v>
      </c>
      <c r="H14" s="47">
        <f>E14/E$9*100</f>
        <v>121.6</v>
      </c>
    </row>
    <row r="15" spans="2:17">
      <c r="B15" s="11" t="s">
        <v>673</v>
      </c>
      <c r="C15" s="25">
        <v>5400</v>
      </c>
      <c r="D15" s="25">
        <v>1950</v>
      </c>
      <c r="E15" s="25">
        <v>1610</v>
      </c>
      <c r="F15" s="47">
        <f>C15/C$9*100</f>
        <v>128.57142857142858</v>
      </c>
      <c r="G15" s="47">
        <f>D15/D$9*100</f>
        <v>130.0</v>
      </c>
      <c r="H15" s="47">
        <f>E15/E$9*100</f>
        <v>128.8</v>
      </c>
    </row>
    <row r="16" spans="2:17">
      <c r="B16" s="11" t="s">
        <v>674</v>
      </c>
      <c r="C16" s="25">
        <v>5800</v>
      </c>
      <c r="D16" s="25">
        <v>2050</v>
      </c>
      <c r="E16" s="25">
        <v>1700</v>
      </c>
      <c r="F16" s="47">
        <f>C16/C$9*100</f>
        <v>138.0952380952381</v>
      </c>
      <c r="G16" s="47">
        <f>D16/D$9*100</f>
        <v>136.66666666666666</v>
      </c>
      <c r="H16" s="47">
        <f>E16/E$9*100</f>
        <v>136.0</v>
      </c>
    </row>
    <row r="18" spans="2:17">
      <c r="B18" s="26" t="s">
        <v>91</v>
      </c>
    </row>
    <row r="19" spans="2:17" ht="19" customHeight="1">
      <c r="B19" s="27" t="s">
        <v>168</v>
      </c>
      <c r="C19" s="27"/>
      <c r="D19" s="27"/>
      <c r="E19" s="27"/>
      <c r="F19" s="27"/>
      <c r="G19" s="27"/>
      <c r="H19" s="27"/>
      <c r="I19" s="27"/>
    </row>
    <row r="20" spans="2:17">
      <c r="B20" s="28" t="s">
        <v>92</v>
      </c>
    </row>
    <row r="21" spans="2:17" ht="19" customHeight="1">
      <c r="B21" s="27" t="s">
        <v>169</v>
      </c>
      <c r="C21" s="27"/>
      <c r="D21" s="27"/>
      <c r="E21" s="27"/>
      <c r="F21" s="27"/>
      <c r="G21" s="27"/>
      <c r="H21" s="27"/>
      <c r="I21" s="27"/>
    </row>
    <row r="30" spans="2:17" ht="22" customHeight="1">
      <c r="B30" s="29" t="s">
        <v>181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2:17" ht="31" customHeight="1">
      <c r="B31" s="30" t="s">
        <v>675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2:17" ht="17" customHeight="1">
      <c r="B32" s="30" t="s">
        <v>676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ht="17" customHeight="1">
      <c r="B33" s="30" t="s">
        <v>677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ht="17" customHeight="1">
      <c r="B34" s="30" t="s">
        <v>678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2:17" ht="17" customHeight="1">
      <c r="B35" s="30" t="s">
        <v>679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2:17" ht="17" customHeight="1">
      <c r="B36" s="30" t="s">
        <v>680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2:17" ht="17" customHeight="1">
      <c r="B37" s="30" t="s">
        <v>681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ht="17" customHeight="1">
      <c r="B38" s="30" t="s">
        <v>682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ht="17" customHeight="1">
      <c r="B39" s="30" t="s">
        <v>683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2:17" ht="17" customHeight="1">
      <c r="B40" s="30" t="s">
        <v>684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2:17" ht="17" customHeight="1">
      <c r="B41" s="30" t="s">
        <v>685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2:17" ht="17" customHeight="1">
      <c r="B42" s="30" t="s">
        <v>686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7" customHeight="1">
      <c r="B43" s="30" t="s">
        <v>191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2:17" ht="17" customHeight="1">
      <c r="B44" s="30" t="s">
        <v>687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2:17" ht="17" customHeight="1">
      <c r="B45" s="30" t="s">
        <v>688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2:17" ht="17" customHeight="1">
      <c r="B46" s="30" t="s">
        <v>689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2:17" ht="17" customHeight="1">
      <c r="B47" s="30" t="s">
        <v>690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ht="17" customHeight="1">
      <c r="B48" s="30" t="s">
        <v>691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7" ht="17" customHeight="1">
      <c r="B49" s="30" t="s">
        <v>195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2:17" ht="31" customHeight="1">
      <c r="B50" s="30" t="s">
        <v>196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2:17" ht="17" customHeight="1">
      <c r="B51" s="30" t="s">
        <v>197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2:17" ht="17" customHeight="1">
      <c r="B52" s="30" t="s">
        <v>198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2:17" ht="17" customHeight="1">
      <c r="B53" s="30" t="s">
        <v>199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7" ht="17" customHeight="1">
      <c r="B54" s="30" t="s">
        <v>200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2:17" ht="17" customHeight="1">
      <c r="B55" s="30" t="s">
        <v>201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7" ht="17" customHeight="1">
      <c r="B56" s="30" t="s">
        <v>202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2:17" ht="17" customHeight="1">
      <c r="B57" s="30" t="s">
        <v>203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2:17" ht="17" customHeight="1">
      <c r="B58" s="30" t="s">
        <v>204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2:17" ht="31" customHeight="1">
      <c r="B59" s="30" t="s">
        <v>692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2:17" ht="31" customHeight="1">
      <c r="B60" s="30" t="s">
        <v>206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2:17" ht="17" customHeight="1">
      <c r="B61" s="30" t="s">
        <v>207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</sheetData>
  <mergeCells count="34">
    <mergeCell ref="B19:I19"/>
    <mergeCell ref="B21:I21"/>
    <mergeCell ref="B30:Q30"/>
    <mergeCell ref="B31:Q31"/>
    <mergeCell ref="B32:Q32"/>
    <mergeCell ref="B33:Q33"/>
    <mergeCell ref="B34:Q34"/>
    <mergeCell ref="B35:Q35"/>
    <mergeCell ref="B36:Q36"/>
    <mergeCell ref="B37:Q37"/>
    <mergeCell ref="B38:Q38"/>
    <mergeCell ref="B39:Q39"/>
    <mergeCell ref="B40:Q40"/>
    <mergeCell ref="B41:Q41"/>
    <mergeCell ref="B42:Q42"/>
    <mergeCell ref="B43:Q43"/>
    <mergeCell ref="B44:Q44"/>
    <mergeCell ref="B45:Q45"/>
    <mergeCell ref="B46:Q46"/>
    <mergeCell ref="B47:Q47"/>
    <mergeCell ref="B48:Q48"/>
    <mergeCell ref="B49:Q49"/>
    <mergeCell ref="B50:Q50"/>
    <mergeCell ref="B51:Q51"/>
    <mergeCell ref="B52:Q52"/>
    <mergeCell ref="B53:Q53"/>
    <mergeCell ref="B54:Q54"/>
    <mergeCell ref="B55:Q55"/>
    <mergeCell ref="B56:Q56"/>
    <mergeCell ref="B57:Q57"/>
    <mergeCell ref="B58:Q58"/>
    <mergeCell ref="B59:Q59"/>
    <mergeCell ref="B60:Q60"/>
    <mergeCell ref="B61:Q61"/>
  </mergeCells>
  <hyperlinks>
    <hyperlink ref="Q1" location="'Guia de escolha'!A1" display="← Guia de escolha"/>
  </hyperlinks>
  <pageMargins left="0.7" right="0.7" top="0.75" bottom="0.7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Capa</vt:lpstr>
      <vt:lpstr>Guia de escolha</vt:lpstr>
      <vt:lpstr>01 Colunas</vt:lpstr>
      <vt:lpstr>02 Barras horizontais</vt:lpstr>
      <vt:lpstr>03 Colunas agrupadas</vt:lpstr>
      <vt:lpstr>04 Colunas empilhadas</vt:lpstr>
      <vt:lpstr>05 Empilhadas 100%</vt:lpstr>
      <vt:lpstr>06 Linhas</vt:lpstr>
      <vt:lpstr>07 Área</vt:lpstr>
      <vt:lpstr>08 Pizza</vt:lpstr>
      <vt:lpstr>09 Rosca</vt:lpstr>
      <vt:lpstr>10 Dispersão</vt:lpstr>
      <vt:lpstr>11 Bolhas</vt:lpstr>
      <vt:lpstr>12 Radar</vt:lpstr>
      <vt:lpstr>13 Histograma</vt:lpstr>
      <vt:lpstr>14 Cascata</vt:lpstr>
      <vt:lpstr>15 Gantt</vt:lpstr>
      <vt:lpstr>16 Slopegraph</vt:lpstr>
      <vt:lpstr>17 Barras divergentes</vt:lpstr>
      <vt:lpstr>18 Mapa de calor</vt:lpstr>
      <vt:lpstr>19 Pareto</vt:lpstr>
      <vt:lpstr>20 Linhas indexadas</vt:lpstr>
      <vt:lpstr>'01 Colunas'!Print_Area</vt:lpstr>
      <vt:lpstr>'02 Barras horizontais'!Print_Area</vt:lpstr>
      <vt:lpstr>'03 Colunas agrupadas'!Print_Area</vt:lpstr>
      <vt:lpstr>'04 Colunas empilhadas'!Print_Area</vt:lpstr>
      <vt:lpstr>'05 Empilhadas 100%'!Print_Area</vt:lpstr>
      <vt:lpstr>'06 Linhas'!Print_Area</vt:lpstr>
      <vt:lpstr>'07 Área'!Print_Area</vt:lpstr>
      <vt:lpstr>'08 Pizza'!Print_Area</vt:lpstr>
      <vt:lpstr>'09 Rosca'!Print_Area</vt:lpstr>
      <vt:lpstr>'10 Dispersão'!Print_Area</vt:lpstr>
      <vt:lpstr>'11 Bolhas'!Print_Area</vt:lpstr>
      <vt:lpstr>'12 Radar'!Print_Area</vt:lpstr>
      <vt:lpstr>'13 Histograma'!Print_Area</vt:lpstr>
      <vt:lpstr>'14 Cascata'!Print_Area</vt:lpstr>
      <vt:lpstr>'15 Gantt'!Print_Area</vt:lpstr>
      <vt:lpstr>'16 Slopegraph'!Print_Area</vt:lpstr>
      <vt:lpstr>'17 Barras divergentes'!Print_Area</vt:lpstr>
      <vt:lpstr>'18 Mapa de calor'!Print_Area</vt:lpstr>
      <vt:lpstr>'19 Pareto'!Print_Area</vt:lpstr>
      <vt:lpstr>'20 Linhas indexadas'!Print_Area</vt:lpstr>
    </vt:vector>
  </TitlesOfParts>
  <Manager>CFOs.AI</Manager>
  <Company>CFOs.AI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Dashboards financeiros · Webinar #1 · CFOs.AI</dc:title>
  <dc:subject>Guia de gráficos para finanças (dados fictícios)</dc:subject>
  <dc:creator>CFOs.AI</dc:creator>
  <cp:keywords>dashboards, finanças, gráficos, CFOs.AI</cp:keywords>
  <dc:description>Dados fictícios. Material do Webinar #1 CFOs.AI.</dc:description>
  <cp:lastModifiedBy>CFOs.AI</cp:lastModifiedBy>
  <dcterms:created xsi:type="dcterms:W3CDTF">2026-10-19T18:53:14Z</dcterms:created>
  <dcterms:modified xsi:type="dcterms:W3CDTF">2026-10-19T18:53:14Z</dcterms:modified>
  <cp:category>Webinar</cp:category>
</cp:coreProperties>
</file>